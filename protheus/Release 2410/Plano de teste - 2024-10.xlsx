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Pontual\Projetos\2024\Migração 12.1.2310\2310\"/>
    </mc:Choice>
  </mc:AlternateContent>
  <xr:revisionPtr revIDLastSave="0" documentId="13_ncr:1_{F60373F5-F12F-40F9-882F-DC1322E0F585}" xr6:coauthVersionLast="47" xr6:coauthVersionMax="47" xr10:uidLastSave="{00000000-0000-0000-0000-000000000000}"/>
  <bookViews>
    <workbookView xWindow="-120" yWindow="-120" windowWidth="20730" windowHeight="11040" xr2:uid="{2A8C43F4-FF89-4745-B027-7948B1279ABB}"/>
  </bookViews>
  <sheets>
    <sheet name="Cenários de teste" sheetId="1" r:id="rId1"/>
    <sheet name="Dados" sheetId="4" r:id="rId2"/>
    <sheet name="Status" sheetId="2" state="hidden" r:id="rId3"/>
  </sheets>
  <definedNames>
    <definedName name="_xlnm._FilterDatabase" localSheetId="0" hidden="1">'Cenários de teste'!$A$1:$K$115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2" i="4"/>
  <c r="B7" i="4" l="1"/>
</calcChain>
</file>

<file path=xl/sharedStrings.xml><?xml version="1.0" encoding="utf-8"?>
<sst xmlns="http://schemas.openxmlformats.org/spreadsheetml/2006/main" count="799" uniqueCount="249">
  <si>
    <t>Módulo</t>
  </si>
  <si>
    <t>Título</t>
  </si>
  <si>
    <t>Execução</t>
  </si>
  <si>
    <t>Resultado esperado</t>
  </si>
  <si>
    <t>Assunto</t>
  </si>
  <si>
    <t>Divergência</t>
  </si>
  <si>
    <t>Compras</t>
  </si>
  <si>
    <t>Tipo</t>
  </si>
  <si>
    <t>Negócio</t>
  </si>
  <si>
    <t>Documento de entrada ficará disponível para classificação</t>
  </si>
  <si>
    <t>Incluir pedido de compra
Incluir NF vinculada com pedido de compra com preço a maior</t>
  </si>
  <si>
    <t>Incluir pedido de compra
Incluir NF vinculada com pedido de compra com preço a menor</t>
  </si>
  <si>
    <t>Incluir pedido de compra
Incluir NF vinculada com pedido de compra com quantidade a maior</t>
  </si>
  <si>
    <t>Incluir pedido de compra
Incluir NF vinculada com pedido de compra com quantidade a menor</t>
  </si>
  <si>
    <t>Imprimir relatório de divergência.</t>
  </si>
  <si>
    <t>Comparar com o relatório do ambiente de produção, analisar possíveis diferenças e validar</t>
  </si>
  <si>
    <t>Passo</t>
  </si>
  <si>
    <t>Acessar rotina de documento de entrada e estornar uma classificação que gerou divergência anteriormente</t>
  </si>
  <si>
    <t>Deve gerar divergência novamente</t>
  </si>
  <si>
    <t>Não permitirá a criação</t>
  </si>
  <si>
    <t>Deverá gerar divergência</t>
  </si>
  <si>
    <t>Customização</t>
  </si>
  <si>
    <t>Acessar rotina de documento de entrada e tentar incluir um documento de entrada sem pedido de compra vinculado</t>
  </si>
  <si>
    <t>Carregará a natureza do cadastro do fornecedor automaticamente</t>
  </si>
  <si>
    <t>Carregará o tipo de entrada do pedido de compra automaticamente</t>
  </si>
  <si>
    <t>Carregará a descrição dos produtos automaticamente</t>
  </si>
  <si>
    <t>Título no contas a pagar obedecerá a condição de pagamento, natureza e valor da nota fiscal</t>
  </si>
  <si>
    <t>Documento de entrada</t>
  </si>
  <si>
    <t>Excluir o documento de entrada</t>
  </si>
  <si>
    <t>Documento de entrada e título do contas a pagar serão excluídos</t>
  </si>
  <si>
    <r>
      <t xml:space="preserve">Incluir documento de entrada manualmente, vinculado a um pedido de compra, de um fornecedor </t>
    </r>
    <r>
      <rPr>
        <b/>
        <sz val="11"/>
        <color theme="1"/>
        <rFont val="Calibri"/>
        <family val="2"/>
        <scheme val="minor"/>
      </rPr>
      <t>com</t>
    </r>
    <r>
      <rPr>
        <sz val="11"/>
        <color theme="1"/>
        <rFont val="Calibri"/>
        <family val="2"/>
        <scheme val="minor"/>
      </rPr>
      <t xml:space="preserve"> desconto financeiro no cadastro de condição de pagamento</t>
    </r>
  </si>
  <si>
    <t>Desconto financeiro</t>
  </si>
  <si>
    <t>Título de NDF de desconto financeiro compensado automaticamente como título NF do contas a pagar</t>
  </si>
  <si>
    <t>Título de NDF de desconto criado automaticamente no contas a pagar, com o valor correto</t>
  </si>
  <si>
    <t>Excluir documento de entrada com NDF de desconto financeiro compensada automaticamente</t>
  </si>
  <si>
    <t>Deverá apresentar mensagem perguntando ao usuário se pode estornar a compensação e excluir a NDF (confirmar)</t>
  </si>
  <si>
    <t>O título de NF no contas a pagar e a NDF serão excluídos.</t>
  </si>
  <si>
    <t>Incluir um documento de entrada vinculado a dois pedidos de compra</t>
  </si>
  <si>
    <t>Incluir um pedido de compra com dois itens. Incluir um documento de entrada para um dos itens.</t>
  </si>
  <si>
    <t>Incluir documento de entrada para o segundo item.</t>
  </si>
  <si>
    <t>Incluir um pedido de compra com um item. Incluir um documento de entrada com quatidade a menor.</t>
  </si>
  <si>
    <t>Incluir documento de entrada com o saldo restante do pedido de compra.</t>
  </si>
  <si>
    <t>Gerará divergência</t>
  </si>
  <si>
    <t>Não gerará divergência</t>
  </si>
  <si>
    <t>Classificação 2 PC x 1 NF</t>
  </si>
  <si>
    <t>Classificação 1 PC x 2 NF (entrega parcial não prevista)</t>
  </si>
  <si>
    <t>Classificação 1 PC x 2 NF (entrega parcial prevista)</t>
  </si>
  <si>
    <t>Importador de XML</t>
  </si>
  <si>
    <t>Exluir documento</t>
  </si>
  <si>
    <t>Reprocessar documento</t>
  </si>
  <si>
    <t>Gerar pré-nota</t>
  </si>
  <si>
    <t>Gerar NF classificada (1 unidade de medida)</t>
  </si>
  <si>
    <t>Acessar monitor e excluir documento</t>
  </si>
  <si>
    <t>Reprocessar documento excluído</t>
  </si>
  <si>
    <t>Gerar NF classificada pela 2ª unidade de medida</t>
  </si>
  <si>
    <t>Saldo do pedido de compra ficará disponível novamente</t>
  </si>
  <si>
    <t>Inclusão e exclusão de documento de entrada</t>
  </si>
  <si>
    <t>Divergência de preço e quantidade</t>
  </si>
  <si>
    <t>Divergência de quantidade, validando relatório, alçada de aprovação, liberação, estorno e reclassificação</t>
  </si>
  <si>
    <t>Liberar divergência</t>
  </si>
  <si>
    <t>Acessar rotina de liberação</t>
  </si>
  <si>
    <t>Divergência de documento de entrada ficará pendente de aprovação para as os usuários certos e apresentará em tela os dados corretos da divergência</t>
  </si>
  <si>
    <t>Incluir dois pedidos de compra, ambos com a mesma condição de pagamento, porém diferente da condição de pagamento do cadastro do fornecedor
Gerar NF classificada pela 1ª unidade de medida</t>
  </si>
  <si>
    <t>Será considerada a condição de pagamento do primeiro pedido de compra</t>
  </si>
  <si>
    <r>
      <t xml:space="preserve">Incluir documento de entrada manualmente, vinculado a um pedido de compra, de um fornecedor </t>
    </r>
    <r>
      <rPr>
        <b/>
        <sz val="11"/>
        <color theme="1"/>
        <rFont val="Calibri"/>
        <family val="2"/>
        <scheme val="minor"/>
      </rPr>
      <t>sem</t>
    </r>
    <r>
      <rPr>
        <sz val="11"/>
        <color theme="1"/>
        <rFont val="Calibri"/>
        <family val="2"/>
        <scheme val="minor"/>
      </rPr>
      <t xml:space="preserve"> desconto financeiro no cadastro de condição de pagamento e que </t>
    </r>
    <r>
      <rPr>
        <b/>
        <sz val="11"/>
        <color theme="1"/>
        <rFont val="Calibri"/>
        <family val="2"/>
        <scheme val="minor"/>
      </rPr>
      <t>não seja produtor rural</t>
    </r>
  </si>
  <si>
    <t>Contra-nota</t>
  </si>
  <si>
    <t>Emissão de contra-nota</t>
  </si>
  <si>
    <t>Imprimir o DANFE</t>
  </si>
  <si>
    <t>Será gerado título a pagar de FUNRURAL com o valor correto (1,5% total da NF)</t>
  </si>
  <si>
    <t>Excluir documento de entrada</t>
  </si>
  <si>
    <t>Os títulos tipo NF e TX serão excluídos do contas a pagar</t>
  </si>
  <si>
    <t>A nota fiscal ficará com status de cancelado na SEFAZ</t>
  </si>
  <si>
    <t>Consultar SEFAZ</t>
  </si>
  <si>
    <t>Incluir pedido de compra e vincular adiantamento
Incluir documento de entrada vinculado ao pedido de compra com adiantamento</t>
  </si>
  <si>
    <t xml:space="preserve">Incluir título no contas a pagar de pagamento antecipado
</t>
  </si>
  <si>
    <t>Será criado um título tipo PA no contas a pagar</t>
  </si>
  <si>
    <t>O PA será compensado automaticamente com a NF</t>
  </si>
  <si>
    <t>Excluir compensação e excluir documento de entrada</t>
  </si>
  <si>
    <t>O documento de entrada será excluído</t>
  </si>
  <si>
    <t>Não será permitido, porque o documento possui uma compensação</t>
  </si>
  <si>
    <t>Desvincular adiantamento do pedido de compra</t>
  </si>
  <si>
    <t>Incluir documento de entrada sem adiantamento
Acessar contas a pagar e compensar a NF com o PA manualmente</t>
  </si>
  <si>
    <t>Não restará saldo em nenhum dos dois títulos</t>
  </si>
  <si>
    <t>Emitir NFTS</t>
  </si>
  <si>
    <t>Pagamento antecipado</t>
  </si>
  <si>
    <t>NFTS</t>
  </si>
  <si>
    <t>Criação, vinculo, compensação manual e compensação automática entre PA e NF</t>
  </si>
  <si>
    <t>Emissão de NFTS</t>
  </si>
  <si>
    <t>Emissão da NF será autorizada pela SEFAZ</t>
  </si>
  <si>
    <t>Transmitir para a SEFAZ em ambiente de homologação</t>
  </si>
  <si>
    <t>Incluir pedido de compra de fornecedor produtor rural
Incluir documento de entrada espécie SPED, série 2, formulário próprio, com referência à nota do produtor</t>
  </si>
  <si>
    <t>Responsável</t>
  </si>
  <si>
    <t>Estoque</t>
  </si>
  <si>
    <t>Movimentação Interna</t>
  </si>
  <si>
    <t>Movimentação interna</t>
  </si>
  <si>
    <t>Realizar movimentação interna de entrada e de saída</t>
  </si>
  <si>
    <t>O saldo do produto será alterado conforme a movimentação</t>
  </si>
  <si>
    <t>Estornar a movimentação interna</t>
  </si>
  <si>
    <t>O saldo do produto será alterado conforme o estorno da movimentação.</t>
  </si>
  <si>
    <t>Transferência</t>
  </si>
  <si>
    <t>Solicitação de transferência</t>
  </si>
  <si>
    <t>Será gerada NF de transferência entre filiais</t>
  </si>
  <si>
    <t>Será gerado documento de saída classificado</t>
  </si>
  <si>
    <t>Os saldos serão alterados tanto na filial de origem quanto na filial de destino conforme a transferência.</t>
  </si>
  <si>
    <t>Incluir solicitação de transferência entre filiais
Aprovar solicitação de transferência entre filiais</t>
  </si>
  <si>
    <t>Inventário</t>
  </si>
  <si>
    <t>Incluir um ajuste de saldo
Reprocessar o inventário</t>
  </si>
  <si>
    <t>O saldo do produto será alterado conforme o ajuste lançado</t>
  </si>
  <si>
    <t>Processamento do inventário</t>
  </si>
  <si>
    <t>Kardex diário</t>
  </si>
  <si>
    <t>Relatórios</t>
  </si>
  <si>
    <t>Consulta de saldo</t>
  </si>
  <si>
    <t>Acessar cadastro de produtos &gt; Tecla F4</t>
  </si>
  <si>
    <t>O saldo deve bater com o saldo da rotina de Saldo Atual</t>
  </si>
  <si>
    <t>Acessar Consultas &gt; Cadastros &gt; Kardex diário</t>
  </si>
  <si>
    <t>Acessar Relatórios &gt; Saldos &gt; Ponto de pedido (MATR540)</t>
  </si>
  <si>
    <t>Acessar Relatórios &gt; Saldos &gt; Em estoque analítico (MATR260)</t>
  </si>
  <si>
    <t>Relatório de ponto de pedido</t>
  </si>
  <si>
    <t>Relatório de inventário</t>
  </si>
  <si>
    <t>Código</t>
  </si>
  <si>
    <t>Pedido de compra</t>
  </si>
  <si>
    <t>Incluir pedido de compra</t>
  </si>
  <si>
    <t>F3 do produto deverá apresentar apenas o cadastro de produto vs fornecedor</t>
  </si>
  <si>
    <t>Ao preencher o tipo de operação, o TES será preenchido automaticamente</t>
  </si>
  <si>
    <t>A conversão para 2ª unidade será preenchida automaticamente</t>
  </si>
  <si>
    <t>Tentar incluir pedido de compra sem TES preenchida</t>
  </si>
  <si>
    <t>Não será permitido.</t>
  </si>
  <si>
    <t>Aprovar pedido de compra</t>
  </si>
  <si>
    <t>O Pedido de compra estará com status de bloqueado</t>
  </si>
  <si>
    <t>O Pedido de compra estará com status de liberado</t>
  </si>
  <si>
    <t>Alterar o pedido de compra aprovado</t>
  </si>
  <si>
    <t>Tentar alterar com um usuário que não pertença ao grupo de compras</t>
  </si>
  <si>
    <t>Não será permitido</t>
  </si>
  <si>
    <t>Alterar o pedido de compra com um outro usuário do mesmo grupo de compras</t>
  </si>
  <si>
    <t>O processo será concluído sem erros.</t>
  </si>
  <si>
    <t>O processo será concluído sem erros. Não gerará divergência.</t>
  </si>
  <si>
    <t>Inclusão, alteração e exclusão de pedido de compra</t>
  </si>
  <si>
    <t>Excluir o pedido de compra com outro usuário, não CMV</t>
  </si>
  <si>
    <t>Tentar excluir o pedido de compra com usuário do CMV</t>
  </si>
  <si>
    <t>Status</t>
  </si>
  <si>
    <t>Não executado</t>
  </si>
  <si>
    <t>Sucesso</t>
  </si>
  <si>
    <t>Falha</t>
  </si>
  <si>
    <t>Em andamento</t>
  </si>
  <si>
    <t>Faturamento</t>
  </si>
  <si>
    <t>Venda</t>
  </si>
  <si>
    <t>Copiar pedido de venda da DIS para o Protheus</t>
  </si>
  <si>
    <t>Será criado um novo pedido de venda no Protheus</t>
  </si>
  <si>
    <t>O pedido de venda será liberado automaticamente</t>
  </si>
  <si>
    <t>A comissão será preenchida automaticamente</t>
  </si>
  <si>
    <t>Preparar documento de saída</t>
  </si>
  <si>
    <t>Retornar informações para a DIS</t>
  </si>
  <si>
    <t>Imprimir DANFE no Protheus</t>
  </si>
  <si>
    <t>Imprimir DANFE no UniDanfe (Exporta Pedidos)</t>
  </si>
  <si>
    <t>Na identificação do emitente, não deverá ter o texto "complemento", o texto CEP deve ter todas as letras maiúsculas, o logotipo deve estar na proporção correta e na relação de produtos o código e a descrição do produto serão o da DIS e não o do Protheus. Nas informações complementares, deverá conter o texto do cadastro de texto para NF-e conforme definido no cadastro do produto.</t>
  </si>
  <si>
    <t>Apenas clientes com o campo "Usa DDA" = Não terão os dados bancários da Pontual na parte de informações complementares.</t>
  </si>
  <si>
    <t>Excluir documento de saída</t>
  </si>
  <si>
    <t>O FatJobNFE estará ativo e só permitirá a exclusão do documento de saída após a confirmação de cancelamento da SEFAZ.</t>
  </si>
  <si>
    <t>Prazo para cancelamento</t>
  </si>
  <si>
    <t>Verificar resultado esperado na documentação da customização</t>
  </si>
  <si>
    <t>Importar o cancelamento para a DIS</t>
  </si>
  <si>
    <t>Os campos de cancelamento da FORMS_NF serão preenchidos corretamente o registro estará com a cor cinza no Exporta Pedidos.</t>
  </si>
  <si>
    <t>Emissão de NF-e de venda</t>
  </si>
  <si>
    <t>Cancelamento de NF-e de venda</t>
  </si>
  <si>
    <t>Emitir NF de Consignação</t>
  </si>
  <si>
    <t>Emitir relatório de saldo em poder de terceiros</t>
  </si>
  <si>
    <t>O saldo será ajustado conforme NF emitida.</t>
  </si>
  <si>
    <t>Consignação</t>
  </si>
  <si>
    <t>Devolução de venda</t>
  </si>
  <si>
    <t>Emissão de NF de consignação</t>
  </si>
  <si>
    <t>Devolução de compra</t>
  </si>
  <si>
    <t>Emissão de NF de devolução de compra</t>
  </si>
  <si>
    <t>Será gerada NCC, que será compensada automaticamente</t>
  </si>
  <si>
    <t>Será gerada NDF, que será compensada automaticamente</t>
  </si>
  <si>
    <t>Emitir NF de devolução de compra</t>
  </si>
  <si>
    <t xml:space="preserve">Emitir NF de devolução de venda </t>
  </si>
  <si>
    <t>A comissão será gerada sobre o valor líquido, isto é, valor da venda menos valor da devolução</t>
  </si>
  <si>
    <t>Emissão de NF de devolução de venda e comissão</t>
  </si>
  <si>
    <t>Validação</t>
  </si>
  <si>
    <t>Progresso</t>
  </si>
  <si>
    <t>Financeiro</t>
  </si>
  <si>
    <t>Incluir NF no contas a pagar
Incluir PA no contas a pagar
Compensar totalmente a NF com o PA, partindo da NF</t>
  </si>
  <si>
    <t>NF e PA compensados, com saldo parcial ou zerado</t>
  </si>
  <si>
    <t>NF e PA com saldo igual ao valor do título</t>
  </si>
  <si>
    <t>Estornar a compensação</t>
  </si>
  <si>
    <t>Posicionar no PA e abrir consulta de posição do título</t>
  </si>
  <si>
    <t>Confirmar se o histórico de movimentações e o saldo condizem com o que foi realizado</t>
  </si>
  <si>
    <t>Incluir documento de entrada que gera financeiro</t>
  </si>
  <si>
    <t>O campo de razão social do título a pagar deverá estar preenchido</t>
  </si>
  <si>
    <t>No histórico do título deverá conter o nome fantasia do fornecedor</t>
  </si>
  <si>
    <t>Compensação contas a pagar</t>
  </si>
  <si>
    <t>Incluir dois títulos a pagar
Liberar apenas o primeiro
Acessar rotina de faturas e gerar um único título</t>
  </si>
  <si>
    <t>Os dois títulos pais serão totalmente baixados por liquidação e um novo título será gerado.
Será permitido gerar fatura com o título bloqueado.</t>
  </si>
  <si>
    <t>Emitir relatório de títulos a pagar</t>
  </si>
  <si>
    <t>Acessar o contas a pagar com um usuário do CMV</t>
  </si>
  <si>
    <t>Apenas títulos com natureza de CMV serão apresentados</t>
  </si>
  <si>
    <t>DDA</t>
  </si>
  <si>
    <t>Filtro de CMV no contas a pagar</t>
  </si>
  <si>
    <t>Geração de fatura a pagar</t>
  </si>
  <si>
    <t>Relatório de contas a pagar</t>
  </si>
  <si>
    <t>Compenstar totalmente a NF com  o PA, partindo do PA</t>
  </si>
  <si>
    <t>Incluir títulos no contas a pagar
Liberar manualmente</t>
  </si>
  <si>
    <t>Alterar o título liberado</t>
  </si>
  <si>
    <t>Título ficará bloqueado novamente</t>
  </si>
  <si>
    <t>Usar liberação automática</t>
  </si>
  <si>
    <t>Título será liberado para pagamento</t>
  </si>
  <si>
    <t>Incluir título
Fazer baixa parcial</t>
  </si>
  <si>
    <t>O saldo do título será alterado conforme valor baixado</t>
  </si>
  <si>
    <t>O saldo voltará a ser o valor do título</t>
  </si>
  <si>
    <t>Não restará saldo no título</t>
  </si>
  <si>
    <t>CP - Compensação</t>
  </si>
  <si>
    <t>CP - Fatura</t>
  </si>
  <si>
    <t>CP - Relatórios</t>
  </si>
  <si>
    <t>CP - Filtro CMV</t>
  </si>
  <si>
    <t>CP - Liberação</t>
  </si>
  <si>
    <t>CP - Baixa</t>
  </si>
  <si>
    <t>Liberação no contas a pagar</t>
  </si>
  <si>
    <t>Baixa a pagar</t>
  </si>
  <si>
    <t>Incluir outros títulos e fazer a baixa total pela rotina de baixa automática</t>
  </si>
  <si>
    <t>Fazer baixa do saldo restante</t>
  </si>
  <si>
    <t>Cancelar as duas baixas</t>
  </si>
  <si>
    <t>CP - Cheque</t>
  </si>
  <si>
    <t>Impressão de cheque</t>
  </si>
  <si>
    <t>Gerar cheque para os bancos utilizados</t>
  </si>
  <si>
    <t>Imprimir cheques dos bancos utilizados</t>
  </si>
  <si>
    <t>O Layout da impressão deve corresponder aos campos de preenchimento do cheque</t>
  </si>
  <si>
    <t>A razão social do fornecedor será o beneficiário do cheque</t>
  </si>
  <si>
    <t>Importar DDA</t>
  </si>
  <si>
    <t>Os registros novos aparecerão na tela de conciliação de DDA</t>
  </si>
  <si>
    <t>Movimentação financeira</t>
  </si>
  <si>
    <t>Realizar transferência entre contas</t>
  </si>
  <si>
    <t>Realizar saída com cheque</t>
  </si>
  <si>
    <t>Imprimir relatório de movimentação padrão</t>
  </si>
  <si>
    <t>Imprimir relatório de movimentação customizado</t>
  </si>
  <si>
    <t>CP - DDA</t>
  </si>
  <si>
    <t>CP - Movimentação financeira</t>
  </si>
  <si>
    <t>Realizar conciliação de extrato</t>
  </si>
  <si>
    <t>Conciliação extrato</t>
  </si>
  <si>
    <t>CP - Extrato</t>
  </si>
  <si>
    <t>CR - Compensação</t>
  </si>
  <si>
    <t>Incluir NF no contas a receber
Incluir RA no contas a receber
Compensar totalmente a NF com o RA, partindo da NF</t>
  </si>
  <si>
    <t>NF e RA compensados, com saldo parcial ou zerado</t>
  </si>
  <si>
    <t>NF e RA com saldo igual ao valor do título</t>
  </si>
  <si>
    <t>Posicionar no RA e abrir consulta de posição do título</t>
  </si>
  <si>
    <t>Compensar totalmente a NF com  o RA, partindo do RA</t>
  </si>
  <si>
    <t>No sistema Cobrança, gerar borderô de recebimento
Fazer baixa em lote</t>
  </si>
  <si>
    <t>Será gerada a movimentação da baixa em lote. Todos os títulos selecionados serão totalmente baixados.</t>
  </si>
  <si>
    <t>Baixa a receber</t>
  </si>
  <si>
    <t>CR - Baixa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</si>
</sst>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9" fontId="0" fillId="0" borderId="0" xfId="1" applyFont="1" applyFill="1"/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0" xfId="0" applyFont="1" applyFill="1"/>
  </cellXfs>
  <cellStyles count="2">
    <cellStyle name="Normal" xfId="0" builtinId="0"/>
    <cellStyle name="Porcentagem" xfId="1" builtinId="5"/>
  </cellStyles>
  <dxfs count="12"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Dados!$B$1</c:f>
              <c:strCache>
                <c:ptCount val="1"/>
                <c:pt idx="0">
                  <c:v>Validação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17F-42A3-AB55-96E2135CE8B8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7F-42A3-AB55-96E2135CE8B8}"/>
              </c:ext>
            </c:extLst>
          </c:dPt>
          <c:cat>
            <c:strRef>
              <c:f>Dados!$A$2:$A$5</c:f>
              <c:strCache>
                <c:ptCount val="4"/>
                <c:pt idx="0">
                  <c:v>Não executado</c:v>
                </c:pt>
                <c:pt idx="1">
                  <c:v>Sucesso</c:v>
                </c:pt>
                <c:pt idx="2">
                  <c:v>Falha</c:v>
                </c:pt>
                <c:pt idx="3">
                  <c:v>Em andamento</c:v>
                </c:pt>
              </c:strCache>
            </c:strRef>
          </c:cat>
          <c:val>
            <c:numRef>
              <c:f>Dados!$B$2:$B$5</c:f>
              <c:numCache>
                <c:formatCode>General</c:formatCode>
                <c:ptCount val="4"/>
                <c:pt idx="0">
                  <c:v>114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F-42A3-AB55-96E2135CE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453296"/>
        <c:axId val="391298832"/>
      </c:barChart>
      <c:catAx>
        <c:axId val="61145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1298832"/>
        <c:crosses val="autoZero"/>
        <c:auto val="1"/>
        <c:lblAlgn val="ctr"/>
        <c:lblOffset val="100"/>
        <c:noMultiLvlLbl val="0"/>
      </c:catAx>
      <c:valAx>
        <c:axId val="39129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45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Dados!$A$7</c:f>
              <c:strCache>
                <c:ptCount val="1"/>
                <c:pt idx="0">
                  <c:v>Progresso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FF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Dados!$B$7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F-4C3A-A470-4FDF10BC78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839912112"/>
        <c:axId val="839914192"/>
      </c:barChart>
      <c:catAx>
        <c:axId val="839912112"/>
        <c:scaling>
          <c:orientation val="minMax"/>
        </c:scaling>
        <c:delete val="1"/>
        <c:axPos val="l"/>
        <c:majorTickMark val="out"/>
        <c:minorTickMark val="none"/>
        <c:tickLblPos val="nextTo"/>
        <c:crossAx val="839914192"/>
        <c:crosses val="autoZero"/>
        <c:auto val="1"/>
        <c:lblAlgn val="ctr"/>
        <c:lblOffset val="100"/>
        <c:noMultiLvlLbl val="0"/>
      </c:catAx>
      <c:valAx>
        <c:axId val="839914192"/>
        <c:scaling>
          <c:orientation val="minMax"/>
          <c:max val="1"/>
        </c:scaling>
        <c:delete val="1"/>
        <c:axPos val="b"/>
        <c:numFmt formatCode="0%" sourceLinked="1"/>
        <c:majorTickMark val="out"/>
        <c:minorTickMark val="none"/>
        <c:tickLblPos val="nextTo"/>
        <c:crossAx val="839912112"/>
        <c:crosses val="autoZero"/>
        <c:crossBetween val="between"/>
      </c:valAx>
      <c:spPr>
        <a:solidFill>
          <a:schemeClr val="tx1">
            <a:lumMod val="50000"/>
            <a:lumOff val="5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5</xdr:row>
      <xdr:rowOff>128587</xdr:rowOff>
    </xdr:from>
    <xdr:to>
      <xdr:col>13</xdr:col>
      <xdr:colOff>28575</xdr:colOff>
      <xdr:row>20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3778B6-4601-5E29-E8BA-C823208F3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314324</xdr:colOff>
      <xdr:row>0</xdr:row>
      <xdr:rowOff>109538</xdr:rowOff>
    </xdr:from>
    <xdr:to>
      <xdr:col>12</xdr:col>
      <xdr:colOff>114299</xdr:colOff>
      <xdr:row>5</xdr:row>
      <xdr:rowOff>66676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BC837B3-C8B6-6203-587F-CC04E46FC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B16D2-1E4D-48C4-8DA7-6CE7A4E4FDA1}">
  <sheetPr filterMode="1"/>
  <dimension ref="A1:K115"/>
  <sheetViews>
    <sheetView showGridLines="0" tabSelected="1" topLeftCell="D1" workbookViewId="0">
      <pane ySplit="1" topLeftCell="A13" activePane="bottomLeft" state="frozen"/>
      <selection pane="bottomLeft" activeCell="F2" sqref="F2"/>
    </sheetView>
  </sheetViews>
  <sheetFormatPr defaultRowHeight="15" x14ac:dyDescent="0.25"/>
  <cols>
    <col min="1" max="2" width="9.140625" style="2"/>
    <col min="3" max="3" width="12.42578125" style="3" bestFit="1" customWidth="1"/>
    <col min="4" max="4" width="17.28515625" style="4" customWidth="1"/>
    <col min="5" max="5" width="9.140625" style="3"/>
    <col min="6" max="6" width="4.85546875" style="8" customWidth="1"/>
    <col min="7" max="7" width="49.5703125" style="3" bestFit="1" customWidth="1"/>
    <col min="8" max="9" width="55" style="5" customWidth="1"/>
    <col min="10" max="10" width="12.140625" style="6" bestFit="1" customWidth="1"/>
    <col min="11" max="11" width="15.7109375" style="6" customWidth="1"/>
  </cols>
  <sheetData>
    <row r="1" spans="1:11" s="14" customFormat="1" x14ac:dyDescent="0.25">
      <c r="A1" s="9" t="s">
        <v>119</v>
      </c>
      <c r="B1" s="9" t="s">
        <v>16</v>
      </c>
      <c r="C1" s="9" t="s">
        <v>0</v>
      </c>
      <c r="D1" s="10" t="s">
        <v>4</v>
      </c>
      <c r="E1" s="9" t="s">
        <v>7</v>
      </c>
      <c r="F1" s="11" t="s">
        <v>21</v>
      </c>
      <c r="G1" s="9" t="s">
        <v>1</v>
      </c>
      <c r="H1" s="12" t="s">
        <v>2</v>
      </c>
      <c r="I1" s="12" t="s">
        <v>3</v>
      </c>
      <c r="J1" s="13" t="s">
        <v>91</v>
      </c>
      <c r="K1" s="13" t="s">
        <v>139</v>
      </c>
    </row>
    <row r="2" spans="1:11" ht="45" hidden="1" x14ac:dyDescent="0.25">
      <c r="A2" s="2">
        <v>201</v>
      </c>
      <c r="B2" s="2">
        <v>1</v>
      </c>
      <c r="C2" s="3" t="s">
        <v>6</v>
      </c>
      <c r="D2" s="4" t="s">
        <v>5</v>
      </c>
      <c r="E2" s="3" t="s">
        <v>8</v>
      </c>
      <c r="G2" s="3" t="s">
        <v>57</v>
      </c>
      <c r="H2" s="5" t="s">
        <v>10</v>
      </c>
      <c r="I2" s="5" t="s">
        <v>20</v>
      </c>
      <c r="K2" s="6" t="s">
        <v>140</v>
      </c>
    </row>
    <row r="3" spans="1:11" ht="45" hidden="1" x14ac:dyDescent="0.25">
      <c r="A3" s="2">
        <v>202</v>
      </c>
      <c r="B3" s="2">
        <v>1</v>
      </c>
      <c r="C3" s="3" t="s">
        <v>6</v>
      </c>
      <c r="D3" s="4" t="s">
        <v>5</v>
      </c>
      <c r="E3" s="3" t="s">
        <v>8</v>
      </c>
      <c r="G3" s="3" t="s">
        <v>57</v>
      </c>
      <c r="H3" s="5" t="s">
        <v>11</v>
      </c>
      <c r="I3" s="5" t="s">
        <v>20</v>
      </c>
      <c r="K3" s="6" t="s">
        <v>140</v>
      </c>
    </row>
    <row r="4" spans="1:11" ht="45" hidden="1" x14ac:dyDescent="0.25">
      <c r="A4" s="2">
        <v>203</v>
      </c>
      <c r="B4" s="2">
        <v>1</v>
      </c>
      <c r="C4" s="3" t="s">
        <v>6</v>
      </c>
      <c r="D4" s="4" t="s">
        <v>5</v>
      </c>
      <c r="E4" s="3" t="s">
        <v>8</v>
      </c>
      <c r="G4" s="3" t="s">
        <v>57</v>
      </c>
      <c r="H4" s="5" t="s">
        <v>12</v>
      </c>
      <c r="I4" s="5" t="s">
        <v>20</v>
      </c>
      <c r="K4" s="6" t="s">
        <v>140</v>
      </c>
    </row>
    <row r="5" spans="1:11" ht="45" hidden="1" x14ac:dyDescent="0.25">
      <c r="A5" s="2">
        <v>204</v>
      </c>
      <c r="B5" s="2">
        <v>1</v>
      </c>
      <c r="C5" s="3" t="s">
        <v>6</v>
      </c>
      <c r="D5" s="4" t="s">
        <v>5</v>
      </c>
      <c r="E5" s="3" t="s">
        <v>8</v>
      </c>
      <c r="G5" s="4" t="s">
        <v>58</v>
      </c>
      <c r="H5" s="5" t="s">
        <v>13</v>
      </c>
      <c r="I5" s="5" t="s">
        <v>20</v>
      </c>
      <c r="K5" s="6" t="s">
        <v>140</v>
      </c>
    </row>
    <row r="6" spans="1:11" ht="45" hidden="1" x14ac:dyDescent="0.25">
      <c r="A6" s="2">
        <v>204</v>
      </c>
      <c r="B6" s="2">
        <v>2</v>
      </c>
      <c r="C6" s="3" t="s">
        <v>6</v>
      </c>
      <c r="D6" s="4" t="s">
        <v>5</v>
      </c>
      <c r="E6" s="3" t="s">
        <v>8</v>
      </c>
      <c r="G6" s="4" t="s">
        <v>58</v>
      </c>
      <c r="H6" s="5" t="s">
        <v>14</v>
      </c>
      <c r="I6" s="5" t="s">
        <v>15</v>
      </c>
      <c r="K6" s="6" t="s">
        <v>140</v>
      </c>
    </row>
    <row r="7" spans="1:11" ht="45" hidden="1" x14ac:dyDescent="0.25">
      <c r="A7" s="2">
        <v>204</v>
      </c>
      <c r="B7" s="2">
        <v>3</v>
      </c>
      <c r="C7" s="3" t="s">
        <v>6</v>
      </c>
      <c r="D7" s="4" t="s">
        <v>5</v>
      </c>
      <c r="E7" s="3" t="s">
        <v>8</v>
      </c>
      <c r="G7" s="4" t="s">
        <v>58</v>
      </c>
      <c r="H7" s="5" t="s">
        <v>60</v>
      </c>
      <c r="I7" s="5" t="s">
        <v>61</v>
      </c>
      <c r="K7" s="6" t="s">
        <v>140</v>
      </c>
    </row>
    <row r="8" spans="1:11" ht="45" hidden="1" x14ac:dyDescent="0.25">
      <c r="A8" s="2">
        <v>204</v>
      </c>
      <c r="B8" s="2">
        <v>4</v>
      </c>
      <c r="C8" s="3" t="s">
        <v>6</v>
      </c>
      <c r="D8" s="4" t="s">
        <v>5</v>
      </c>
      <c r="E8" s="3" t="s">
        <v>8</v>
      </c>
      <c r="G8" s="4" t="s">
        <v>58</v>
      </c>
      <c r="H8" s="5" t="s">
        <v>59</v>
      </c>
      <c r="I8" s="5" t="s">
        <v>9</v>
      </c>
      <c r="K8" s="6" t="s">
        <v>140</v>
      </c>
    </row>
    <row r="9" spans="1:11" ht="45" hidden="1" x14ac:dyDescent="0.25">
      <c r="A9" s="2">
        <v>204</v>
      </c>
      <c r="B9" s="2">
        <v>5</v>
      </c>
      <c r="C9" s="3" t="s">
        <v>6</v>
      </c>
      <c r="D9" s="4" t="s">
        <v>5</v>
      </c>
      <c r="E9" s="3" t="s">
        <v>8</v>
      </c>
      <c r="G9" s="4" t="s">
        <v>58</v>
      </c>
      <c r="H9" s="5" t="s">
        <v>17</v>
      </c>
      <c r="I9" s="5" t="s">
        <v>18</v>
      </c>
      <c r="K9" s="6" t="s">
        <v>140</v>
      </c>
    </row>
    <row r="10" spans="1:11" ht="30" hidden="1" x14ac:dyDescent="0.25">
      <c r="A10" s="2">
        <v>205</v>
      </c>
      <c r="B10" s="2">
        <v>1</v>
      </c>
      <c r="C10" s="3" t="s">
        <v>6</v>
      </c>
      <c r="D10" s="4" t="s">
        <v>27</v>
      </c>
      <c r="E10" s="3" t="s">
        <v>8</v>
      </c>
      <c r="G10" s="3" t="s">
        <v>56</v>
      </c>
      <c r="H10" s="5" t="s">
        <v>22</v>
      </c>
      <c r="I10" s="5" t="s">
        <v>19</v>
      </c>
      <c r="K10" s="6" t="s">
        <v>140</v>
      </c>
    </row>
    <row r="11" spans="1:11" ht="60" hidden="1" x14ac:dyDescent="0.25">
      <c r="A11" s="2">
        <v>206</v>
      </c>
      <c r="B11" s="2">
        <v>1</v>
      </c>
      <c r="C11" s="3" t="s">
        <v>6</v>
      </c>
      <c r="D11" s="4" t="s">
        <v>27</v>
      </c>
      <c r="E11" s="3" t="s">
        <v>8</v>
      </c>
      <c r="G11" s="3" t="s">
        <v>56</v>
      </c>
      <c r="H11" s="5" t="s">
        <v>64</v>
      </c>
      <c r="I11" s="5" t="s">
        <v>23</v>
      </c>
      <c r="K11" s="6" t="s">
        <v>140</v>
      </c>
    </row>
    <row r="12" spans="1:11" ht="30" hidden="1" x14ac:dyDescent="0.25">
      <c r="A12" s="2">
        <v>206</v>
      </c>
      <c r="B12" s="2">
        <v>2</v>
      </c>
      <c r="C12" s="3" t="s">
        <v>6</v>
      </c>
      <c r="D12" s="4" t="s">
        <v>27</v>
      </c>
      <c r="E12" s="3" t="s">
        <v>8</v>
      </c>
      <c r="G12" s="3" t="s">
        <v>56</v>
      </c>
      <c r="I12" s="5" t="s">
        <v>24</v>
      </c>
      <c r="K12" s="6" t="s">
        <v>140</v>
      </c>
    </row>
    <row r="13" spans="1:11" ht="30" x14ac:dyDescent="0.25">
      <c r="A13" s="2">
        <v>206</v>
      </c>
      <c r="B13" s="2">
        <v>3</v>
      </c>
      <c r="C13" s="3" t="s">
        <v>6</v>
      </c>
      <c r="D13" s="4" t="s">
        <v>27</v>
      </c>
      <c r="E13" s="3" t="s">
        <v>8</v>
      </c>
      <c r="F13" s="8">
        <v>12</v>
      </c>
      <c r="G13" s="3" t="s">
        <v>56</v>
      </c>
      <c r="I13" s="5" t="s">
        <v>25</v>
      </c>
      <c r="K13" s="6" t="s">
        <v>140</v>
      </c>
    </row>
    <row r="14" spans="1:11" ht="30" hidden="1" x14ac:dyDescent="0.25">
      <c r="A14" s="2">
        <v>206</v>
      </c>
      <c r="B14" s="2">
        <v>4</v>
      </c>
      <c r="C14" s="3" t="s">
        <v>6</v>
      </c>
      <c r="D14" s="4" t="s">
        <v>27</v>
      </c>
      <c r="E14" s="3" t="s">
        <v>8</v>
      </c>
      <c r="G14" s="3" t="s">
        <v>56</v>
      </c>
      <c r="I14" s="5" t="s">
        <v>26</v>
      </c>
      <c r="K14" s="6" t="s">
        <v>140</v>
      </c>
    </row>
    <row r="15" spans="1:11" ht="30" hidden="1" x14ac:dyDescent="0.25">
      <c r="A15" s="2">
        <v>206</v>
      </c>
      <c r="B15" s="2">
        <v>5</v>
      </c>
      <c r="C15" s="3" t="s">
        <v>6</v>
      </c>
      <c r="D15" s="4" t="s">
        <v>27</v>
      </c>
      <c r="E15" s="3" t="s">
        <v>8</v>
      </c>
      <c r="G15" s="3" t="s">
        <v>56</v>
      </c>
      <c r="H15" s="5" t="s">
        <v>28</v>
      </c>
      <c r="I15" s="5" t="s">
        <v>29</v>
      </c>
      <c r="K15" s="6" t="s">
        <v>140</v>
      </c>
    </row>
    <row r="16" spans="1:11" ht="30" hidden="1" x14ac:dyDescent="0.25">
      <c r="A16" s="2">
        <v>206</v>
      </c>
      <c r="B16" s="2">
        <v>6</v>
      </c>
      <c r="C16" s="3" t="s">
        <v>6</v>
      </c>
      <c r="D16" s="4" t="s">
        <v>27</v>
      </c>
      <c r="E16" s="3" t="s">
        <v>8</v>
      </c>
      <c r="G16" s="3" t="s">
        <v>56</v>
      </c>
      <c r="I16" s="5" t="s">
        <v>55</v>
      </c>
      <c r="K16" s="6" t="s">
        <v>140</v>
      </c>
    </row>
    <row r="17" spans="1:11" ht="45" hidden="1" x14ac:dyDescent="0.25">
      <c r="A17" s="2">
        <v>207</v>
      </c>
      <c r="B17" s="2">
        <v>1</v>
      </c>
      <c r="C17" s="3" t="s">
        <v>6</v>
      </c>
      <c r="D17" s="4" t="s">
        <v>27</v>
      </c>
      <c r="E17" s="3" t="s">
        <v>8</v>
      </c>
      <c r="G17" s="3" t="s">
        <v>31</v>
      </c>
      <c r="H17" s="5" t="s">
        <v>30</v>
      </c>
      <c r="I17" s="5" t="s">
        <v>26</v>
      </c>
      <c r="K17" s="6" t="s">
        <v>140</v>
      </c>
    </row>
    <row r="18" spans="1:11" ht="30" x14ac:dyDescent="0.25">
      <c r="A18" s="2">
        <v>207</v>
      </c>
      <c r="B18" s="2">
        <v>2</v>
      </c>
      <c r="C18" s="3" t="s">
        <v>6</v>
      </c>
      <c r="D18" s="4" t="s">
        <v>27</v>
      </c>
      <c r="E18" s="3" t="s">
        <v>8</v>
      </c>
      <c r="F18" s="8">
        <v>15</v>
      </c>
      <c r="G18" s="3" t="s">
        <v>31</v>
      </c>
      <c r="I18" s="5" t="s">
        <v>33</v>
      </c>
      <c r="K18" s="6" t="s">
        <v>140</v>
      </c>
    </row>
    <row r="19" spans="1:11" ht="30" hidden="1" x14ac:dyDescent="0.25">
      <c r="A19" s="2">
        <v>207</v>
      </c>
      <c r="B19" s="2">
        <v>3</v>
      </c>
      <c r="C19" s="3" t="s">
        <v>6</v>
      </c>
      <c r="D19" s="4" t="s">
        <v>27</v>
      </c>
      <c r="E19" s="3" t="s">
        <v>8</v>
      </c>
      <c r="G19" s="3" t="s">
        <v>31</v>
      </c>
      <c r="I19" s="5" t="s">
        <v>32</v>
      </c>
      <c r="K19" s="6" t="s">
        <v>140</v>
      </c>
    </row>
    <row r="20" spans="1:11" ht="30" hidden="1" x14ac:dyDescent="0.25">
      <c r="A20" s="2">
        <v>207</v>
      </c>
      <c r="B20" s="2">
        <v>4</v>
      </c>
      <c r="C20" s="3" t="s">
        <v>6</v>
      </c>
      <c r="D20" s="4" t="s">
        <v>27</v>
      </c>
      <c r="E20" s="3" t="s">
        <v>8</v>
      </c>
      <c r="G20" s="3" t="s">
        <v>31</v>
      </c>
      <c r="H20" s="5" t="s">
        <v>34</v>
      </c>
      <c r="I20" s="5" t="s">
        <v>35</v>
      </c>
      <c r="K20" s="6" t="s">
        <v>140</v>
      </c>
    </row>
    <row r="21" spans="1:11" ht="30" hidden="1" x14ac:dyDescent="0.25">
      <c r="A21" s="2">
        <v>207</v>
      </c>
      <c r="B21" s="2">
        <v>5</v>
      </c>
      <c r="C21" s="3" t="s">
        <v>6</v>
      </c>
      <c r="D21" s="4" t="s">
        <v>27</v>
      </c>
      <c r="E21" s="3" t="s">
        <v>8</v>
      </c>
      <c r="G21" s="3" t="s">
        <v>31</v>
      </c>
      <c r="I21" s="5" t="s">
        <v>36</v>
      </c>
      <c r="K21" s="6" t="s">
        <v>140</v>
      </c>
    </row>
    <row r="22" spans="1:11" ht="30" hidden="1" x14ac:dyDescent="0.25">
      <c r="A22" s="2">
        <v>208</v>
      </c>
      <c r="B22" s="2">
        <v>1</v>
      </c>
      <c r="C22" s="3" t="s">
        <v>6</v>
      </c>
      <c r="D22" s="4" t="s">
        <v>27</v>
      </c>
      <c r="E22" s="3" t="s">
        <v>8</v>
      </c>
      <c r="G22" s="3" t="s">
        <v>44</v>
      </c>
      <c r="H22" s="5" t="s">
        <v>37</v>
      </c>
      <c r="I22" s="5" t="s">
        <v>134</v>
      </c>
      <c r="K22" s="6" t="s">
        <v>140</v>
      </c>
    </row>
    <row r="23" spans="1:11" ht="30" hidden="1" x14ac:dyDescent="0.25">
      <c r="A23" s="2">
        <v>209</v>
      </c>
      <c r="B23" s="2">
        <v>1</v>
      </c>
      <c r="C23" s="3" t="s">
        <v>6</v>
      </c>
      <c r="D23" s="4" t="s">
        <v>27</v>
      </c>
      <c r="E23" s="3" t="s">
        <v>8</v>
      </c>
      <c r="G23" s="3" t="s">
        <v>46</v>
      </c>
      <c r="H23" s="5" t="s">
        <v>38</v>
      </c>
      <c r="I23" s="5" t="s">
        <v>135</v>
      </c>
      <c r="K23" s="6" t="s">
        <v>140</v>
      </c>
    </row>
    <row r="24" spans="1:11" ht="30" hidden="1" x14ac:dyDescent="0.25">
      <c r="A24" s="2">
        <v>209</v>
      </c>
      <c r="B24" s="2">
        <v>2</v>
      </c>
      <c r="C24" s="3" t="s">
        <v>6</v>
      </c>
      <c r="D24" s="4" t="s">
        <v>27</v>
      </c>
      <c r="E24" s="3" t="s">
        <v>8</v>
      </c>
      <c r="G24" s="3" t="s">
        <v>46</v>
      </c>
      <c r="H24" s="5" t="s">
        <v>39</v>
      </c>
      <c r="I24" s="5" t="s">
        <v>135</v>
      </c>
      <c r="K24" s="6" t="s">
        <v>140</v>
      </c>
    </row>
    <row r="25" spans="1:11" ht="30" hidden="1" x14ac:dyDescent="0.25">
      <c r="A25" s="2">
        <v>210</v>
      </c>
      <c r="B25" s="2">
        <v>1</v>
      </c>
      <c r="C25" s="3" t="s">
        <v>6</v>
      </c>
      <c r="D25" s="4" t="s">
        <v>27</v>
      </c>
      <c r="E25" s="3" t="s">
        <v>8</v>
      </c>
      <c r="G25" s="3" t="s">
        <v>45</v>
      </c>
      <c r="H25" s="5" t="s">
        <v>40</v>
      </c>
      <c r="I25" s="5" t="s">
        <v>42</v>
      </c>
      <c r="K25" s="6" t="s">
        <v>140</v>
      </c>
    </row>
    <row r="26" spans="1:11" ht="30" hidden="1" x14ac:dyDescent="0.25">
      <c r="A26" s="2">
        <v>210</v>
      </c>
      <c r="B26" s="2">
        <v>2</v>
      </c>
      <c r="C26" s="3" t="s">
        <v>6</v>
      </c>
      <c r="D26" s="4" t="s">
        <v>27</v>
      </c>
      <c r="E26" s="3" t="s">
        <v>8</v>
      </c>
      <c r="G26" s="3" t="s">
        <v>45</v>
      </c>
      <c r="H26" s="5" t="s">
        <v>41</v>
      </c>
      <c r="I26" s="5" t="s">
        <v>43</v>
      </c>
      <c r="K26" s="6" t="s">
        <v>140</v>
      </c>
    </row>
    <row r="27" spans="1:11" ht="30" hidden="1" x14ac:dyDescent="0.25">
      <c r="A27" s="2">
        <v>211</v>
      </c>
      <c r="B27" s="2">
        <v>1</v>
      </c>
      <c r="C27" s="3" t="s">
        <v>6</v>
      </c>
      <c r="D27" s="4" t="s">
        <v>47</v>
      </c>
      <c r="E27" s="3" t="s">
        <v>8</v>
      </c>
      <c r="G27" s="3" t="s">
        <v>48</v>
      </c>
      <c r="H27" s="5" t="s">
        <v>52</v>
      </c>
      <c r="I27" s="5" t="s">
        <v>134</v>
      </c>
      <c r="K27" s="6" t="s">
        <v>140</v>
      </c>
    </row>
    <row r="28" spans="1:11" ht="30" hidden="1" x14ac:dyDescent="0.25">
      <c r="A28" s="2">
        <v>211</v>
      </c>
      <c r="B28" s="2">
        <v>2</v>
      </c>
      <c r="C28" s="3" t="s">
        <v>6</v>
      </c>
      <c r="D28" s="4" t="s">
        <v>47</v>
      </c>
      <c r="E28" s="3" t="s">
        <v>8</v>
      </c>
      <c r="G28" s="3" t="s">
        <v>49</v>
      </c>
      <c r="H28" s="5" t="s">
        <v>53</v>
      </c>
      <c r="I28" s="5" t="s">
        <v>134</v>
      </c>
      <c r="K28" s="6" t="s">
        <v>140</v>
      </c>
    </row>
    <row r="29" spans="1:11" ht="30" hidden="1" x14ac:dyDescent="0.25">
      <c r="A29" s="2">
        <v>211</v>
      </c>
      <c r="B29" s="2">
        <v>3</v>
      </c>
      <c r="C29" s="3" t="s">
        <v>6</v>
      </c>
      <c r="D29" s="4" t="s">
        <v>47</v>
      </c>
      <c r="E29" s="3" t="s">
        <v>8</v>
      </c>
      <c r="G29" s="3" t="s">
        <v>50</v>
      </c>
      <c r="H29" s="5" t="s">
        <v>50</v>
      </c>
      <c r="I29" s="5" t="s">
        <v>134</v>
      </c>
      <c r="K29" s="6" t="s">
        <v>140</v>
      </c>
    </row>
    <row r="30" spans="1:11" ht="60" x14ac:dyDescent="0.25">
      <c r="A30" s="2">
        <v>211</v>
      </c>
      <c r="B30" s="2">
        <v>4</v>
      </c>
      <c r="C30" s="3" t="s">
        <v>6</v>
      </c>
      <c r="D30" s="4" t="s">
        <v>47</v>
      </c>
      <c r="E30" s="3" t="s">
        <v>8</v>
      </c>
      <c r="F30" s="8">
        <v>28</v>
      </c>
      <c r="G30" s="3" t="s">
        <v>51</v>
      </c>
      <c r="H30" s="5" t="s">
        <v>62</v>
      </c>
      <c r="I30" s="5" t="s">
        <v>63</v>
      </c>
      <c r="K30" s="6" t="s">
        <v>140</v>
      </c>
    </row>
    <row r="31" spans="1:11" ht="30" hidden="1" x14ac:dyDescent="0.25">
      <c r="A31" s="2">
        <v>212</v>
      </c>
      <c r="B31" s="2">
        <v>1</v>
      </c>
      <c r="C31" s="3" t="s">
        <v>6</v>
      </c>
      <c r="D31" s="4" t="s">
        <v>47</v>
      </c>
      <c r="E31" s="3" t="s">
        <v>8</v>
      </c>
      <c r="G31" s="3" t="s">
        <v>51</v>
      </c>
      <c r="H31" s="5" t="s">
        <v>54</v>
      </c>
      <c r="I31" s="5" t="s">
        <v>134</v>
      </c>
      <c r="K31" s="6" t="s">
        <v>140</v>
      </c>
    </row>
    <row r="32" spans="1:11" ht="45" hidden="1" x14ac:dyDescent="0.25">
      <c r="A32" s="2">
        <v>213</v>
      </c>
      <c r="B32" s="2">
        <v>1</v>
      </c>
      <c r="C32" s="3" t="s">
        <v>6</v>
      </c>
      <c r="D32" s="4" t="s">
        <v>65</v>
      </c>
      <c r="E32" s="3" t="s">
        <v>8</v>
      </c>
      <c r="G32" s="3" t="s">
        <v>66</v>
      </c>
      <c r="H32" s="5" t="s">
        <v>90</v>
      </c>
      <c r="I32" s="5" t="s">
        <v>26</v>
      </c>
      <c r="K32" s="6" t="s">
        <v>140</v>
      </c>
    </row>
    <row r="33" spans="1:11" ht="30" hidden="1" x14ac:dyDescent="0.25">
      <c r="A33" s="2">
        <v>213</v>
      </c>
      <c r="B33" s="2">
        <v>2</v>
      </c>
      <c r="C33" s="3" t="s">
        <v>6</v>
      </c>
      <c r="D33" s="4" t="s">
        <v>65</v>
      </c>
      <c r="E33" s="3" t="s">
        <v>8</v>
      </c>
      <c r="G33" s="3" t="s">
        <v>66</v>
      </c>
      <c r="I33" s="5" t="s">
        <v>68</v>
      </c>
      <c r="K33" s="6" t="s">
        <v>140</v>
      </c>
    </row>
    <row r="34" spans="1:11" hidden="1" x14ac:dyDescent="0.25">
      <c r="A34" s="2">
        <v>213</v>
      </c>
      <c r="B34" s="2">
        <v>3</v>
      </c>
      <c r="C34" s="3" t="s">
        <v>6</v>
      </c>
      <c r="D34" s="4" t="s">
        <v>65</v>
      </c>
      <c r="E34" s="3" t="s">
        <v>8</v>
      </c>
      <c r="G34" s="3" t="s">
        <v>66</v>
      </c>
      <c r="H34" s="5" t="s">
        <v>89</v>
      </c>
      <c r="I34" s="5" t="s">
        <v>88</v>
      </c>
      <c r="K34" s="6" t="s">
        <v>140</v>
      </c>
    </row>
    <row r="35" spans="1:11" ht="30" hidden="1" x14ac:dyDescent="0.25">
      <c r="A35" s="2">
        <v>213</v>
      </c>
      <c r="B35" s="2">
        <v>4</v>
      </c>
      <c r="C35" s="3" t="s">
        <v>6</v>
      </c>
      <c r="D35" s="4" t="s">
        <v>65</v>
      </c>
      <c r="E35" s="3" t="s">
        <v>8</v>
      </c>
      <c r="G35" s="3" t="s">
        <v>66</v>
      </c>
      <c r="H35" s="5" t="s">
        <v>67</v>
      </c>
      <c r="I35" s="5" t="s">
        <v>15</v>
      </c>
      <c r="K35" s="6" t="s">
        <v>140</v>
      </c>
    </row>
    <row r="36" spans="1:11" hidden="1" x14ac:dyDescent="0.25">
      <c r="A36" s="2">
        <v>213</v>
      </c>
      <c r="B36" s="2">
        <v>5</v>
      </c>
      <c r="C36" s="3" t="s">
        <v>6</v>
      </c>
      <c r="D36" s="4" t="s">
        <v>65</v>
      </c>
      <c r="E36" s="3" t="s">
        <v>8</v>
      </c>
      <c r="G36" s="3" t="s">
        <v>66</v>
      </c>
      <c r="H36" s="5" t="s">
        <v>69</v>
      </c>
      <c r="I36" s="5" t="s">
        <v>70</v>
      </c>
      <c r="K36" s="6" t="s">
        <v>140</v>
      </c>
    </row>
    <row r="37" spans="1:11" hidden="1" x14ac:dyDescent="0.25">
      <c r="A37" s="2">
        <v>213</v>
      </c>
      <c r="B37" s="2">
        <v>6</v>
      </c>
      <c r="C37" s="3" t="s">
        <v>6</v>
      </c>
      <c r="D37" s="4" t="s">
        <v>65</v>
      </c>
      <c r="E37" s="3" t="s">
        <v>8</v>
      </c>
      <c r="G37" s="3" t="s">
        <v>66</v>
      </c>
      <c r="H37" s="5" t="s">
        <v>72</v>
      </c>
      <c r="I37" s="5" t="s">
        <v>71</v>
      </c>
      <c r="K37" s="6" t="s">
        <v>140</v>
      </c>
    </row>
    <row r="38" spans="1:11" ht="30" hidden="1" x14ac:dyDescent="0.25">
      <c r="A38" s="2">
        <v>214</v>
      </c>
      <c r="B38" s="2">
        <v>1</v>
      </c>
      <c r="C38" s="3" t="s">
        <v>6</v>
      </c>
      <c r="D38" s="4" t="s">
        <v>84</v>
      </c>
      <c r="E38" s="3" t="s">
        <v>8</v>
      </c>
      <c r="G38" s="4" t="s">
        <v>86</v>
      </c>
      <c r="H38" s="5" t="s">
        <v>74</v>
      </c>
      <c r="I38" s="5" t="s">
        <v>75</v>
      </c>
      <c r="K38" s="6" t="s">
        <v>140</v>
      </c>
    </row>
    <row r="39" spans="1:11" ht="45" hidden="1" x14ac:dyDescent="0.25">
      <c r="A39" s="2">
        <v>214</v>
      </c>
      <c r="B39" s="2">
        <v>2</v>
      </c>
      <c r="C39" s="3" t="s">
        <v>6</v>
      </c>
      <c r="D39" s="4" t="s">
        <v>84</v>
      </c>
      <c r="E39" s="3" t="s">
        <v>8</v>
      </c>
      <c r="G39" s="4" t="s">
        <v>86</v>
      </c>
      <c r="H39" s="5" t="s">
        <v>73</v>
      </c>
      <c r="I39" s="5" t="s">
        <v>76</v>
      </c>
      <c r="K39" s="6" t="s">
        <v>140</v>
      </c>
    </row>
    <row r="40" spans="1:11" ht="30" hidden="1" x14ac:dyDescent="0.25">
      <c r="A40" s="2">
        <v>214</v>
      </c>
      <c r="B40" s="2">
        <v>3</v>
      </c>
      <c r="C40" s="3" t="s">
        <v>6</v>
      </c>
      <c r="D40" s="4" t="s">
        <v>84</v>
      </c>
      <c r="E40" s="3" t="s">
        <v>8</v>
      </c>
      <c r="G40" s="4" t="s">
        <v>86</v>
      </c>
      <c r="H40" s="5" t="s">
        <v>28</v>
      </c>
      <c r="I40" s="5" t="s">
        <v>79</v>
      </c>
      <c r="K40" s="6" t="s">
        <v>140</v>
      </c>
    </row>
    <row r="41" spans="1:11" ht="30" hidden="1" x14ac:dyDescent="0.25">
      <c r="A41" s="2">
        <v>214</v>
      </c>
      <c r="B41" s="2">
        <v>4</v>
      </c>
      <c r="C41" s="3" t="s">
        <v>6</v>
      </c>
      <c r="D41" s="4" t="s">
        <v>84</v>
      </c>
      <c r="E41" s="3" t="s">
        <v>8</v>
      </c>
      <c r="G41" s="4" t="s">
        <v>86</v>
      </c>
      <c r="H41" s="5" t="s">
        <v>77</v>
      </c>
      <c r="I41" s="5" t="s">
        <v>78</v>
      </c>
      <c r="K41" s="6" t="s">
        <v>140</v>
      </c>
    </row>
    <row r="42" spans="1:11" ht="30" hidden="1" x14ac:dyDescent="0.25">
      <c r="A42" s="2">
        <v>214</v>
      </c>
      <c r="B42" s="2">
        <v>5</v>
      </c>
      <c r="C42" s="3" t="s">
        <v>6</v>
      </c>
      <c r="D42" s="4" t="s">
        <v>84</v>
      </c>
      <c r="E42" s="3" t="s">
        <v>8</v>
      </c>
      <c r="G42" s="4" t="s">
        <v>86</v>
      </c>
      <c r="H42" s="5" t="s">
        <v>80</v>
      </c>
      <c r="I42" s="5" t="s">
        <v>134</v>
      </c>
      <c r="K42" s="6" t="s">
        <v>140</v>
      </c>
    </row>
    <row r="43" spans="1:11" ht="45" hidden="1" x14ac:dyDescent="0.25">
      <c r="A43" s="2">
        <v>214</v>
      </c>
      <c r="B43" s="2">
        <v>6</v>
      </c>
      <c r="C43" s="3" t="s">
        <v>6</v>
      </c>
      <c r="D43" s="4" t="s">
        <v>84</v>
      </c>
      <c r="E43" s="3" t="s">
        <v>8</v>
      </c>
      <c r="G43" s="4" t="s">
        <v>86</v>
      </c>
      <c r="H43" s="5" t="s">
        <v>81</v>
      </c>
      <c r="I43" s="5" t="s">
        <v>82</v>
      </c>
      <c r="K43" s="6" t="s">
        <v>140</v>
      </c>
    </row>
    <row r="44" spans="1:11" hidden="1" x14ac:dyDescent="0.25">
      <c r="A44" s="2">
        <v>215</v>
      </c>
      <c r="B44" s="2">
        <v>1</v>
      </c>
      <c r="C44" s="3" t="s">
        <v>6</v>
      </c>
      <c r="D44" s="4" t="s">
        <v>85</v>
      </c>
      <c r="E44" s="3" t="s">
        <v>8</v>
      </c>
      <c r="G44" s="3" t="s">
        <v>87</v>
      </c>
      <c r="H44" s="5" t="s">
        <v>83</v>
      </c>
      <c r="I44" s="5" t="s">
        <v>134</v>
      </c>
      <c r="K44" s="6" t="s">
        <v>140</v>
      </c>
    </row>
    <row r="45" spans="1:11" hidden="1" x14ac:dyDescent="0.25">
      <c r="A45" s="2">
        <v>216</v>
      </c>
      <c r="B45" s="2">
        <v>1</v>
      </c>
      <c r="C45" s="3" t="s">
        <v>6</v>
      </c>
      <c r="D45" s="4" t="s">
        <v>120</v>
      </c>
      <c r="E45" s="3" t="s">
        <v>8</v>
      </c>
      <c r="G45" s="3" t="s">
        <v>136</v>
      </c>
      <c r="H45" s="5" t="s">
        <v>125</v>
      </c>
      <c r="I45" s="5" t="s">
        <v>126</v>
      </c>
      <c r="K45" s="6" t="s">
        <v>140</v>
      </c>
    </row>
    <row r="46" spans="1:11" ht="30" x14ac:dyDescent="0.25">
      <c r="A46" s="2">
        <v>217</v>
      </c>
      <c r="B46" s="2">
        <v>1</v>
      </c>
      <c r="C46" s="3" t="s">
        <v>6</v>
      </c>
      <c r="D46" s="4" t="s">
        <v>120</v>
      </c>
      <c r="E46" s="3" t="s">
        <v>8</v>
      </c>
      <c r="F46" s="8">
        <v>23</v>
      </c>
      <c r="G46" s="3" t="s">
        <v>136</v>
      </c>
      <c r="H46" s="5" t="s">
        <v>121</v>
      </c>
      <c r="I46" s="5" t="s">
        <v>122</v>
      </c>
      <c r="K46" s="6" t="s">
        <v>140</v>
      </c>
    </row>
    <row r="47" spans="1:11" ht="30" hidden="1" x14ac:dyDescent="0.25">
      <c r="A47" s="2">
        <v>217</v>
      </c>
      <c r="B47" s="2">
        <v>2</v>
      </c>
      <c r="C47" s="3" t="s">
        <v>6</v>
      </c>
      <c r="D47" s="4" t="s">
        <v>120</v>
      </c>
      <c r="E47" s="3" t="s">
        <v>8</v>
      </c>
      <c r="G47" s="3" t="s">
        <v>136</v>
      </c>
      <c r="I47" s="5" t="s">
        <v>123</v>
      </c>
      <c r="K47" s="6" t="s">
        <v>140</v>
      </c>
    </row>
    <row r="48" spans="1:11" ht="30" hidden="1" x14ac:dyDescent="0.25">
      <c r="A48" s="2">
        <v>217</v>
      </c>
      <c r="B48" s="2">
        <v>3</v>
      </c>
      <c r="C48" s="3" t="s">
        <v>6</v>
      </c>
      <c r="D48" s="4" t="s">
        <v>120</v>
      </c>
      <c r="E48" s="3" t="s">
        <v>8</v>
      </c>
      <c r="G48" s="3" t="s">
        <v>136</v>
      </c>
      <c r="I48" s="5" t="s">
        <v>124</v>
      </c>
      <c r="K48" s="6" t="s">
        <v>140</v>
      </c>
    </row>
    <row r="49" spans="1:11" hidden="1" x14ac:dyDescent="0.25">
      <c r="A49" s="2">
        <v>217</v>
      </c>
      <c r="B49" s="2">
        <v>4</v>
      </c>
      <c r="C49" s="3" t="s">
        <v>6</v>
      </c>
      <c r="D49" s="4" t="s">
        <v>120</v>
      </c>
      <c r="E49" s="3" t="s">
        <v>8</v>
      </c>
      <c r="G49" s="3" t="s">
        <v>136</v>
      </c>
      <c r="I49" s="5" t="s">
        <v>128</v>
      </c>
      <c r="K49" s="6" t="s">
        <v>140</v>
      </c>
    </row>
    <row r="50" spans="1:11" hidden="1" x14ac:dyDescent="0.25">
      <c r="A50" s="2">
        <v>217</v>
      </c>
      <c r="B50" s="2">
        <v>5</v>
      </c>
      <c r="C50" s="3" t="s">
        <v>6</v>
      </c>
      <c r="D50" s="4" t="s">
        <v>120</v>
      </c>
      <c r="E50" s="3" t="s">
        <v>8</v>
      </c>
      <c r="G50" s="3" t="s">
        <v>136</v>
      </c>
      <c r="H50" s="5" t="s">
        <v>127</v>
      </c>
      <c r="I50" s="5" t="s">
        <v>129</v>
      </c>
      <c r="K50" s="6" t="s">
        <v>140</v>
      </c>
    </row>
    <row r="51" spans="1:11" hidden="1" x14ac:dyDescent="0.25">
      <c r="A51" s="2">
        <v>217</v>
      </c>
      <c r="B51" s="2">
        <v>6</v>
      </c>
      <c r="C51" s="3" t="s">
        <v>6</v>
      </c>
      <c r="D51" s="4" t="s">
        <v>120</v>
      </c>
      <c r="E51" s="3" t="s">
        <v>8</v>
      </c>
      <c r="G51" s="3" t="s">
        <v>136</v>
      </c>
      <c r="H51" s="5" t="s">
        <v>130</v>
      </c>
      <c r="I51" s="5" t="s">
        <v>128</v>
      </c>
      <c r="K51" s="6" t="s">
        <v>140</v>
      </c>
    </row>
    <row r="52" spans="1:11" ht="30" hidden="1" x14ac:dyDescent="0.25">
      <c r="A52" s="2">
        <v>217</v>
      </c>
      <c r="B52" s="2">
        <v>7</v>
      </c>
      <c r="C52" s="3" t="s">
        <v>6</v>
      </c>
      <c r="D52" s="4" t="s">
        <v>120</v>
      </c>
      <c r="E52" s="3" t="s">
        <v>8</v>
      </c>
      <c r="G52" s="3" t="s">
        <v>136</v>
      </c>
      <c r="H52" s="5" t="s">
        <v>131</v>
      </c>
      <c r="I52" s="5" t="s">
        <v>132</v>
      </c>
      <c r="K52" s="6" t="s">
        <v>140</v>
      </c>
    </row>
    <row r="53" spans="1:11" ht="30" hidden="1" x14ac:dyDescent="0.25">
      <c r="A53" s="2">
        <v>217</v>
      </c>
      <c r="B53" s="2">
        <v>8</v>
      </c>
      <c r="C53" s="3" t="s">
        <v>6</v>
      </c>
      <c r="D53" s="4" t="s">
        <v>120</v>
      </c>
      <c r="E53" s="3" t="s">
        <v>8</v>
      </c>
      <c r="G53" s="3" t="s">
        <v>136</v>
      </c>
      <c r="H53" s="5" t="s">
        <v>133</v>
      </c>
      <c r="I53" s="5" t="s">
        <v>134</v>
      </c>
      <c r="K53" s="6" t="s">
        <v>140</v>
      </c>
    </row>
    <row r="54" spans="1:11" hidden="1" x14ac:dyDescent="0.25">
      <c r="A54" s="2">
        <v>217</v>
      </c>
      <c r="B54" s="2">
        <v>9</v>
      </c>
      <c r="C54" s="3" t="s">
        <v>6</v>
      </c>
      <c r="D54" s="4" t="s">
        <v>120</v>
      </c>
      <c r="E54" s="3" t="s">
        <v>8</v>
      </c>
      <c r="G54" s="3" t="s">
        <v>136</v>
      </c>
      <c r="H54" s="5" t="s">
        <v>138</v>
      </c>
      <c r="I54" s="5" t="s">
        <v>126</v>
      </c>
      <c r="K54" s="6" t="s">
        <v>140</v>
      </c>
    </row>
    <row r="55" spans="1:11" hidden="1" x14ac:dyDescent="0.25">
      <c r="A55" s="2">
        <v>217</v>
      </c>
      <c r="B55" s="2">
        <v>10</v>
      </c>
      <c r="C55" s="3" t="s">
        <v>6</v>
      </c>
      <c r="D55" s="4" t="s">
        <v>120</v>
      </c>
      <c r="E55" s="3" t="s">
        <v>8</v>
      </c>
      <c r="G55" s="3" t="s">
        <v>136</v>
      </c>
      <c r="H55" s="5" t="s">
        <v>137</v>
      </c>
      <c r="I55" s="5" t="s">
        <v>134</v>
      </c>
      <c r="K55" s="6" t="s">
        <v>140</v>
      </c>
    </row>
    <row r="56" spans="1:11" ht="30" hidden="1" x14ac:dyDescent="0.25">
      <c r="A56" s="2">
        <v>301</v>
      </c>
      <c r="B56" s="2">
        <v>1</v>
      </c>
      <c r="C56" s="3" t="s">
        <v>92</v>
      </c>
      <c r="D56" s="4" t="s">
        <v>93</v>
      </c>
      <c r="E56" s="3" t="s">
        <v>8</v>
      </c>
      <c r="G56" s="3" t="s">
        <v>94</v>
      </c>
      <c r="H56" s="5" t="s">
        <v>95</v>
      </c>
      <c r="I56" s="5" t="s">
        <v>96</v>
      </c>
      <c r="K56" s="6" t="s">
        <v>140</v>
      </c>
    </row>
    <row r="57" spans="1:11" ht="30" hidden="1" x14ac:dyDescent="0.25">
      <c r="A57" s="2">
        <v>301</v>
      </c>
      <c r="B57" s="2">
        <v>2</v>
      </c>
      <c r="C57" s="3" t="s">
        <v>92</v>
      </c>
      <c r="D57" s="4" t="s">
        <v>93</v>
      </c>
      <c r="E57" s="3" t="s">
        <v>8</v>
      </c>
      <c r="G57" s="3" t="s">
        <v>94</v>
      </c>
      <c r="H57" s="5" t="s">
        <v>97</v>
      </c>
      <c r="I57" s="5" t="s">
        <v>98</v>
      </c>
      <c r="K57" s="6" t="s">
        <v>140</v>
      </c>
    </row>
    <row r="58" spans="1:11" ht="30" hidden="1" x14ac:dyDescent="0.25">
      <c r="A58" s="2">
        <v>302</v>
      </c>
      <c r="B58" s="2">
        <v>1</v>
      </c>
      <c r="C58" s="3" t="s">
        <v>92</v>
      </c>
      <c r="D58" s="4" t="s">
        <v>99</v>
      </c>
      <c r="E58" s="3" t="s">
        <v>8</v>
      </c>
      <c r="G58" s="3" t="s">
        <v>100</v>
      </c>
      <c r="H58" s="5" t="s">
        <v>104</v>
      </c>
      <c r="I58" s="5" t="s">
        <v>101</v>
      </c>
      <c r="K58" s="6" t="s">
        <v>140</v>
      </c>
    </row>
    <row r="59" spans="1:11" hidden="1" x14ac:dyDescent="0.25">
      <c r="A59" s="2">
        <v>302</v>
      </c>
      <c r="B59" s="2">
        <v>2</v>
      </c>
      <c r="C59" s="3" t="s">
        <v>92</v>
      </c>
      <c r="D59" s="4" t="s">
        <v>99</v>
      </c>
      <c r="E59" s="3" t="s">
        <v>8</v>
      </c>
      <c r="G59" s="3" t="s">
        <v>100</v>
      </c>
      <c r="I59" s="5" t="s">
        <v>102</v>
      </c>
      <c r="K59" s="6" t="s">
        <v>140</v>
      </c>
    </row>
    <row r="60" spans="1:11" ht="30" hidden="1" x14ac:dyDescent="0.25">
      <c r="A60" s="2">
        <v>302</v>
      </c>
      <c r="B60" s="2">
        <v>3</v>
      </c>
      <c r="C60" s="3" t="s">
        <v>92</v>
      </c>
      <c r="D60" s="4" t="s">
        <v>99</v>
      </c>
      <c r="E60" s="3" t="s">
        <v>8</v>
      </c>
      <c r="G60" s="3" t="s">
        <v>100</v>
      </c>
      <c r="I60" s="5" t="s">
        <v>103</v>
      </c>
      <c r="K60" s="6" t="s">
        <v>140</v>
      </c>
    </row>
    <row r="61" spans="1:11" ht="30" hidden="1" x14ac:dyDescent="0.25">
      <c r="A61" s="2">
        <v>303</v>
      </c>
      <c r="B61" s="2">
        <v>1</v>
      </c>
      <c r="C61" s="3" t="s">
        <v>92</v>
      </c>
      <c r="D61" s="4" t="s">
        <v>105</v>
      </c>
      <c r="E61" s="3" t="s">
        <v>8</v>
      </c>
      <c r="G61" s="3" t="s">
        <v>108</v>
      </c>
      <c r="H61" s="5" t="s">
        <v>106</v>
      </c>
      <c r="I61" s="5" t="s">
        <v>107</v>
      </c>
      <c r="K61" s="6" t="s">
        <v>140</v>
      </c>
    </row>
    <row r="62" spans="1:11" hidden="1" x14ac:dyDescent="0.25">
      <c r="A62" s="2">
        <v>304</v>
      </c>
      <c r="B62" s="2">
        <v>1</v>
      </c>
      <c r="C62" s="3" t="s">
        <v>92</v>
      </c>
      <c r="D62" s="4" t="s">
        <v>111</v>
      </c>
      <c r="E62" s="3" t="s">
        <v>8</v>
      </c>
      <c r="G62" s="3" t="s">
        <v>111</v>
      </c>
      <c r="H62" s="5" t="s">
        <v>112</v>
      </c>
      <c r="I62" s="5" t="s">
        <v>113</v>
      </c>
      <c r="K62" s="6" t="s">
        <v>140</v>
      </c>
    </row>
    <row r="63" spans="1:11" hidden="1" x14ac:dyDescent="0.25">
      <c r="A63" s="2">
        <v>305</v>
      </c>
      <c r="B63" s="2">
        <v>1</v>
      </c>
      <c r="C63" s="3" t="s">
        <v>92</v>
      </c>
      <c r="D63" s="4" t="s">
        <v>109</v>
      </c>
      <c r="E63" s="3" t="s">
        <v>8</v>
      </c>
      <c r="G63" s="3" t="s">
        <v>109</v>
      </c>
      <c r="H63" s="5" t="s">
        <v>114</v>
      </c>
      <c r="I63" s="5" t="s">
        <v>134</v>
      </c>
      <c r="K63" s="6" t="s">
        <v>140</v>
      </c>
    </row>
    <row r="64" spans="1:11" ht="30" hidden="1" x14ac:dyDescent="0.25">
      <c r="A64" s="2">
        <v>306</v>
      </c>
      <c r="B64" s="2">
        <v>1</v>
      </c>
      <c r="C64" s="3" t="s">
        <v>92</v>
      </c>
      <c r="D64" s="4" t="s">
        <v>110</v>
      </c>
      <c r="E64" s="3" t="s">
        <v>8</v>
      </c>
      <c r="G64" s="3" t="s">
        <v>117</v>
      </c>
      <c r="H64" s="5" t="s">
        <v>115</v>
      </c>
      <c r="I64" s="5" t="s">
        <v>15</v>
      </c>
      <c r="K64" s="6" t="s">
        <v>140</v>
      </c>
    </row>
    <row r="65" spans="1:11" ht="30" hidden="1" x14ac:dyDescent="0.25">
      <c r="A65" s="2">
        <v>307</v>
      </c>
      <c r="B65" s="2">
        <v>1</v>
      </c>
      <c r="C65" s="3" t="s">
        <v>92</v>
      </c>
      <c r="D65" s="4" t="s">
        <v>110</v>
      </c>
      <c r="E65" s="3" t="s">
        <v>8</v>
      </c>
      <c r="G65" s="3" t="s">
        <v>118</v>
      </c>
      <c r="H65" s="5" t="s">
        <v>116</v>
      </c>
      <c r="I65" s="5" t="s">
        <v>15</v>
      </c>
      <c r="K65" s="6" t="s">
        <v>140</v>
      </c>
    </row>
    <row r="66" spans="1:11" x14ac:dyDescent="0.25">
      <c r="A66" s="2">
        <v>501</v>
      </c>
      <c r="B66" s="2">
        <v>1</v>
      </c>
      <c r="C66" s="3" t="s">
        <v>144</v>
      </c>
      <c r="D66" s="4" t="s">
        <v>145</v>
      </c>
      <c r="E66" s="3" t="s">
        <v>8</v>
      </c>
      <c r="F66" s="8">
        <v>33</v>
      </c>
      <c r="G66" s="3" t="s">
        <v>162</v>
      </c>
      <c r="H66" s="5" t="s">
        <v>146</v>
      </c>
      <c r="I66" s="5" t="s">
        <v>147</v>
      </c>
      <c r="K66" s="6" t="s">
        <v>140</v>
      </c>
    </row>
    <row r="67" spans="1:11" x14ac:dyDescent="0.25">
      <c r="A67" s="2">
        <v>501</v>
      </c>
      <c r="B67" s="2">
        <v>2</v>
      </c>
      <c r="C67" s="3" t="s">
        <v>144</v>
      </c>
      <c r="D67" s="4" t="s">
        <v>145</v>
      </c>
      <c r="E67" s="3" t="s">
        <v>8</v>
      </c>
      <c r="F67" s="8">
        <v>24</v>
      </c>
      <c r="G67" s="3" t="s">
        <v>162</v>
      </c>
      <c r="I67" s="5" t="s">
        <v>148</v>
      </c>
      <c r="K67" s="6" t="s">
        <v>140</v>
      </c>
    </row>
    <row r="68" spans="1:11" x14ac:dyDescent="0.25">
      <c r="A68" s="2">
        <v>501</v>
      </c>
      <c r="B68" s="2">
        <v>3</v>
      </c>
      <c r="C68" s="3" t="s">
        <v>144</v>
      </c>
      <c r="D68" s="4" t="s">
        <v>145</v>
      </c>
      <c r="E68" s="3" t="s">
        <v>8</v>
      </c>
      <c r="F68" s="8">
        <v>37</v>
      </c>
      <c r="G68" s="3" t="s">
        <v>162</v>
      </c>
      <c r="I68" s="5" t="s">
        <v>149</v>
      </c>
      <c r="K68" s="6" t="s">
        <v>140</v>
      </c>
    </row>
    <row r="69" spans="1:11" hidden="1" x14ac:dyDescent="0.25">
      <c r="A69" s="2">
        <v>501</v>
      </c>
      <c r="B69" s="2">
        <v>4</v>
      </c>
      <c r="C69" s="3" t="s">
        <v>144</v>
      </c>
      <c r="D69" s="4" t="s">
        <v>145</v>
      </c>
      <c r="E69" s="3" t="s">
        <v>8</v>
      </c>
      <c r="G69" s="3" t="s">
        <v>162</v>
      </c>
      <c r="H69" s="5" t="s">
        <v>150</v>
      </c>
      <c r="I69" s="5" t="s">
        <v>134</v>
      </c>
      <c r="K69" s="6" t="s">
        <v>140</v>
      </c>
    </row>
    <row r="70" spans="1:11" hidden="1" x14ac:dyDescent="0.25">
      <c r="A70" s="2">
        <v>501</v>
      </c>
      <c r="B70" s="2">
        <v>5</v>
      </c>
      <c r="C70" s="3" t="s">
        <v>144</v>
      </c>
      <c r="D70" s="4" t="s">
        <v>145</v>
      </c>
      <c r="E70" s="3" t="s">
        <v>8</v>
      </c>
      <c r="G70" s="3" t="s">
        <v>162</v>
      </c>
      <c r="H70" s="5" t="s">
        <v>151</v>
      </c>
      <c r="I70" s="5" t="s">
        <v>134</v>
      </c>
      <c r="K70" s="6" t="s">
        <v>140</v>
      </c>
    </row>
    <row r="71" spans="1:11" ht="105" x14ac:dyDescent="0.25">
      <c r="A71" s="2">
        <v>501</v>
      </c>
      <c r="B71" s="2">
        <v>6</v>
      </c>
      <c r="C71" s="3" t="s">
        <v>144</v>
      </c>
      <c r="D71" s="4" t="s">
        <v>145</v>
      </c>
      <c r="E71" s="3" t="s">
        <v>8</v>
      </c>
      <c r="F71" s="8">
        <v>19</v>
      </c>
      <c r="G71" s="3" t="s">
        <v>162</v>
      </c>
      <c r="H71" s="5" t="s">
        <v>152</v>
      </c>
      <c r="I71" s="5" t="s">
        <v>154</v>
      </c>
      <c r="K71" s="6" t="s">
        <v>140</v>
      </c>
    </row>
    <row r="72" spans="1:11" ht="45" x14ac:dyDescent="0.25">
      <c r="A72" s="2">
        <v>501</v>
      </c>
      <c r="B72" s="2">
        <v>7</v>
      </c>
      <c r="C72" s="3" t="s">
        <v>144</v>
      </c>
      <c r="D72" s="4" t="s">
        <v>145</v>
      </c>
      <c r="E72" s="3" t="s">
        <v>8</v>
      </c>
      <c r="F72" s="8">
        <v>20</v>
      </c>
      <c r="G72" s="3" t="s">
        <v>162</v>
      </c>
      <c r="I72" s="5" t="s">
        <v>155</v>
      </c>
      <c r="K72" s="6" t="s">
        <v>140</v>
      </c>
    </row>
    <row r="73" spans="1:11" hidden="1" x14ac:dyDescent="0.25">
      <c r="A73" s="2">
        <v>501</v>
      </c>
      <c r="B73" s="2">
        <v>8</v>
      </c>
      <c r="C73" s="3" t="s">
        <v>144</v>
      </c>
      <c r="D73" s="4" t="s">
        <v>145</v>
      </c>
      <c r="E73" s="3" t="s">
        <v>8</v>
      </c>
      <c r="G73" s="3" t="s">
        <v>162</v>
      </c>
      <c r="H73" s="5" t="s">
        <v>153</v>
      </c>
      <c r="I73" s="5" t="s">
        <v>134</v>
      </c>
      <c r="K73" s="6" t="s">
        <v>140</v>
      </c>
    </row>
    <row r="74" spans="1:11" ht="45" hidden="1" x14ac:dyDescent="0.25">
      <c r="A74" s="2">
        <v>502</v>
      </c>
      <c r="B74" s="2">
        <v>1</v>
      </c>
      <c r="C74" s="3" t="s">
        <v>144</v>
      </c>
      <c r="D74" s="4" t="s">
        <v>145</v>
      </c>
      <c r="E74" s="3" t="s">
        <v>8</v>
      </c>
      <c r="G74" s="3" t="s">
        <v>163</v>
      </c>
      <c r="H74" s="5" t="s">
        <v>156</v>
      </c>
      <c r="I74" s="5" t="s">
        <v>157</v>
      </c>
      <c r="K74" s="6" t="s">
        <v>140</v>
      </c>
    </row>
    <row r="75" spans="1:11" ht="30" x14ac:dyDescent="0.25">
      <c r="A75" s="2">
        <v>502</v>
      </c>
      <c r="B75" s="2">
        <v>2</v>
      </c>
      <c r="C75" s="3" t="s">
        <v>144</v>
      </c>
      <c r="D75" s="4" t="s">
        <v>145</v>
      </c>
      <c r="E75" s="3" t="s">
        <v>8</v>
      </c>
      <c r="F75" s="8">
        <v>31</v>
      </c>
      <c r="G75" s="3" t="s">
        <v>163</v>
      </c>
      <c r="H75" s="5" t="s">
        <v>158</v>
      </c>
      <c r="I75" s="5" t="s">
        <v>159</v>
      </c>
      <c r="K75" s="6" t="s">
        <v>140</v>
      </c>
    </row>
    <row r="76" spans="1:11" ht="45" hidden="1" x14ac:dyDescent="0.25">
      <c r="A76" s="2">
        <v>502</v>
      </c>
      <c r="B76" s="2">
        <v>3</v>
      </c>
      <c r="C76" s="3" t="s">
        <v>144</v>
      </c>
      <c r="D76" s="4" t="s">
        <v>145</v>
      </c>
      <c r="E76" s="3" t="s">
        <v>8</v>
      </c>
      <c r="G76" s="3" t="s">
        <v>163</v>
      </c>
      <c r="H76" s="5" t="s">
        <v>160</v>
      </c>
      <c r="I76" s="5" t="s">
        <v>161</v>
      </c>
      <c r="K76" s="6" t="s">
        <v>140</v>
      </c>
    </row>
    <row r="77" spans="1:11" hidden="1" x14ac:dyDescent="0.25">
      <c r="A77" s="2">
        <v>503</v>
      </c>
      <c r="B77" s="2">
        <v>1</v>
      </c>
      <c r="C77" s="3" t="s">
        <v>144</v>
      </c>
      <c r="D77" s="4" t="s">
        <v>167</v>
      </c>
      <c r="E77" s="3" t="s">
        <v>8</v>
      </c>
      <c r="G77" s="3" t="s">
        <v>169</v>
      </c>
      <c r="H77" s="5" t="s">
        <v>164</v>
      </c>
      <c r="I77" s="5" t="s">
        <v>134</v>
      </c>
      <c r="K77" s="6" t="s">
        <v>140</v>
      </c>
    </row>
    <row r="78" spans="1:11" hidden="1" x14ac:dyDescent="0.25">
      <c r="A78" s="2">
        <v>503</v>
      </c>
      <c r="B78" s="2">
        <v>2</v>
      </c>
      <c r="C78" s="3" t="s">
        <v>144</v>
      </c>
      <c r="D78" s="4" t="s">
        <v>167</v>
      </c>
      <c r="E78" s="3" t="s">
        <v>8</v>
      </c>
      <c r="G78" s="3" t="s">
        <v>169</v>
      </c>
      <c r="H78" s="5" t="s">
        <v>165</v>
      </c>
      <c r="I78" s="5" t="s">
        <v>166</v>
      </c>
      <c r="K78" s="6" t="s">
        <v>140</v>
      </c>
    </row>
    <row r="79" spans="1:11" ht="30" hidden="1" x14ac:dyDescent="0.25">
      <c r="A79" s="2">
        <v>504</v>
      </c>
      <c r="B79" s="2">
        <v>1</v>
      </c>
      <c r="C79" s="3" t="s">
        <v>144</v>
      </c>
      <c r="D79" s="4" t="s">
        <v>168</v>
      </c>
      <c r="E79" s="3" t="s">
        <v>8</v>
      </c>
      <c r="G79" s="3" t="s">
        <v>177</v>
      </c>
      <c r="H79" s="5" t="s">
        <v>175</v>
      </c>
      <c r="I79" s="5" t="s">
        <v>134</v>
      </c>
      <c r="K79" s="6" t="s">
        <v>140</v>
      </c>
    </row>
    <row r="80" spans="1:11" ht="30" hidden="1" x14ac:dyDescent="0.25">
      <c r="A80" s="2">
        <v>504</v>
      </c>
      <c r="B80" s="2">
        <v>2</v>
      </c>
      <c r="C80" s="3" t="s">
        <v>144</v>
      </c>
      <c r="D80" s="4" t="s">
        <v>168</v>
      </c>
      <c r="E80" s="3" t="s">
        <v>8</v>
      </c>
      <c r="G80" s="3" t="s">
        <v>177</v>
      </c>
      <c r="I80" s="5" t="s">
        <v>172</v>
      </c>
      <c r="K80" s="6" t="s">
        <v>140</v>
      </c>
    </row>
    <row r="81" spans="1:11" ht="30" hidden="1" x14ac:dyDescent="0.25">
      <c r="A81" s="2">
        <v>504</v>
      </c>
      <c r="B81" s="2">
        <v>3</v>
      </c>
      <c r="C81" s="3" t="s">
        <v>144</v>
      </c>
      <c r="D81" s="4" t="s">
        <v>168</v>
      </c>
      <c r="E81" s="3" t="s">
        <v>8</v>
      </c>
      <c r="G81" s="3" t="s">
        <v>177</v>
      </c>
      <c r="I81" s="5" t="s">
        <v>176</v>
      </c>
      <c r="K81" s="6" t="s">
        <v>140</v>
      </c>
    </row>
    <row r="82" spans="1:11" ht="30" hidden="1" x14ac:dyDescent="0.25">
      <c r="A82" s="2">
        <v>218</v>
      </c>
      <c r="B82" s="2">
        <v>1</v>
      </c>
      <c r="C82" s="3" t="s">
        <v>6</v>
      </c>
      <c r="D82" s="4" t="s">
        <v>170</v>
      </c>
      <c r="E82" s="3" t="s">
        <v>8</v>
      </c>
      <c r="G82" s="3" t="s">
        <v>171</v>
      </c>
      <c r="H82" s="5" t="s">
        <v>174</v>
      </c>
      <c r="I82" s="5" t="s">
        <v>134</v>
      </c>
      <c r="K82" s="6" t="s">
        <v>140</v>
      </c>
    </row>
    <row r="83" spans="1:11" ht="30" hidden="1" x14ac:dyDescent="0.25">
      <c r="A83" s="2">
        <v>218</v>
      </c>
      <c r="B83" s="2">
        <v>2</v>
      </c>
      <c r="C83" s="3" t="s">
        <v>6</v>
      </c>
      <c r="D83" s="4" t="s">
        <v>170</v>
      </c>
      <c r="E83" s="3" t="s">
        <v>8</v>
      </c>
      <c r="G83" s="3" t="s">
        <v>171</v>
      </c>
      <c r="I83" s="5" t="s">
        <v>173</v>
      </c>
      <c r="K83" s="6" t="s">
        <v>140</v>
      </c>
    </row>
    <row r="84" spans="1:11" ht="45" hidden="1" x14ac:dyDescent="0.25">
      <c r="A84" s="2">
        <v>601</v>
      </c>
      <c r="B84" s="2">
        <v>1</v>
      </c>
      <c r="C84" s="3" t="s">
        <v>180</v>
      </c>
      <c r="D84" s="4" t="s">
        <v>210</v>
      </c>
      <c r="E84" s="3" t="s">
        <v>8</v>
      </c>
      <c r="G84" s="3" t="s">
        <v>190</v>
      </c>
      <c r="H84" s="5" t="s">
        <v>181</v>
      </c>
      <c r="I84" s="5" t="s">
        <v>182</v>
      </c>
      <c r="K84" s="6" t="s">
        <v>140</v>
      </c>
    </row>
    <row r="85" spans="1:11" ht="30" hidden="1" x14ac:dyDescent="0.25">
      <c r="A85" s="2">
        <v>601</v>
      </c>
      <c r="B85" s="2">
        <v>2</v>
      </c>
      <c r="C85" s="3" t="s">
        <v>180</v>
      </c>
      <c r="D85" s="4" t="s">
        <v>210</v>
      </c>
      <c r="E85" s="3" t="s">
        <v>8</v>
      </c>
      <c r="G85" s="3" t="s">
        <v>190</v>
      </c>
      <c r="H85" s="5" t="s">
        <v>184</v>
      </c>
      <c r="I85" s="5" t="s">
        <v>183</v>
      </c>
      <c r="K85" s="6" t="s">
        <v>140</v>
      </c>
    </row>
    <row r="86" spans="1:11" ht="30" hidden="1" x14ac:dyDescent="0.25">
      <c r="A86" s="2">
        <v>601</v>
      </c>
      <c r="B86" s="2">
        <v>3</v>
      </c>
      <c r="C86" s="3" t="s">
        <v>180</v>
      </c>
      <c r="D86" s="4" t="s">
        <v>210</v>
      </c>
      <c r="E86" s="3" t="s">
        <v>8</v>
      </c>
      <c r="G86" s="3" t="s">
        <v>190</v>
      </c>
      <c r="H86" s="5" t="s">
        <v>200</v>
      </c>
      <c r="I86" s="5" t="s">
        <v>182</v>
      </c>
      <c r="K86" s="6" t="s">
        <v>140</v>
      </c>
    </row>
    <row r="87" spans="1:11" ht="30" hidden="1" x14ac:dyDescent="0.25">
      <c r="A87" s="2">
        <v>601</v>
      </c>
      <c r="B87" s="2">
        <v>4</v>
      </c>
      <c r="C87" s="3" t="s">
        <v>180</v>
      </c>
      <c r="D87" s="4" t="s">
        <v>210</v>
      </c>
      <c r="E87" s="3" t="s">
        <v>8</v>
      </c>
      <c r="G87" s="3" t="s">
        <v>190</v>
      </c>
      <c r="H87" s="5" t="s">
        <v>185</v>
      </c>
      <c r="I87" s="5" t="s">
        <v>186</v>
      </c>
      <c r="K87" s="6" t="s">
        <v>140</v>
      </c>
    </row>
    <row r="88" spans="1:11" ht="30" hidden="1" x14ac:dyDescent="0.25">
      <c r="A88" s="2">
        <v>601</v>
      </c>
      <c r="B88" s="2">
        <v>5</v>
      </c>
      <c r="C88" s="3" t="s">
        <v>180</v>
      </c>
      <c r="D88" s="4" t="s">
        <v>210</v>
      </c>
      <c r="E88" s="3" t="s">
        <v>8</v>
      </c>
      <c r="G88" s="3" t="s">
        <v>190</v>
      </c>
      <c r="H88" s="5" t="s">
        <v>185</v>
      </c>
      <c r="I88" s="5" t="s">
        <v>186</v>
      </c>
      <c r="K88" s="6" t="s">
        <v>140</v>
      </c>
    </row>
    <row r="89" spans="1:11" ht="30" x14ac:dyDescent="0.25">
      <c r="A89" s="2">
        <v>601</v>
      </c>
      <c r="B89" s="2">
        <v>6</v>
      </c>
      <c r="C89" s="3" t="s">
        <v>180</v>
      </c>
      <c r="D89" s="4" t="s">
        <v>210</v>
      </c>
      <c r="E89" s="3" t="s">
        <v>8</v>
      </c>
      <c r="F89" s="8">
        <v>22</v>
      </c>
      <c r="G89" s="3" t="s">
        <v>190</v>
      </c>
      <c r="H89" s="5" t="s">
        <v>187</v>
      </c>
      <c r="I89" s="5" t="s">
        <v>188</v>
      </c>
      <c r="K89" s="6" t="s">
        <v>140</v>
      </c>
    </row>
    <row r="90" spans="1:11" ht="30" x14ac:dyDescent="0.25">
      <c r="A90" s="2">
        <v>601</v>
      </c>
      <c r="B90" s="2">
        <v>7</v>
      </c>
      <c r="C90" s="3" t="s">
        <v>180</v>
      </c>
      <c r="D90" s="4" t="s">
        <v>210</v>
      </c>
      <c r="E90" s="3" t="s">
        <v>8</v>
      </c>
      <c r="F90" s="8">
        <v>22</v>
      </c>
      <c r="G90" s="3" t="s">
        <v>190</v>
      </c>
      <c r="H90" s="5" t="s">
        <v>187</v>
      </c>
      <c r="I90" s="5" t="s">
        <v>189</v>
      </c>
      <c r="K90" s="6" t="s">
        <v>140</v>
      </c>
    </row>
    <row r="91" spans="1:11" ht="45" x14ac:dyDescent="0.25">
      <c r="A91" s="2">
        <v>602</v>
      </c>
      <c r="B91" s="2">
        <v>1</v>
      </c>
      <c r="C91" s="3" t="s">
        <v>180</v>
      </c>
      <c r="D91" s="4" t="s">
        <v>211</v>
      </c>
      <c r="E91" s="3" t="s">
        <v>8</v>
      </c>
      <c r="F91" s="8">
        <v>14</v>
      </c>
      <c r="G91" s="3" t="s">
        <v>198</v>
      </c>
      <c r="H91" s="5" t="s">
        <v>191</v>
      </c>
      <c r="I91" s="5" t="s">
        <v>192</v>
      </c>
      <c r="K91" s="6" t="s">
        <v>140</v>
      </c>
    </row>
    <row r="92" spans="1:11" ht="30" hidden="1" x14ac:dyDescent="0.25">
      <c r="A92" s="2">
        <v>603</v>
      </c>
      <c r="B92" s="2">
        <v>1</v>
      </c>
      <c r="C92" s="3" t="s">
        <v>180</v>
      </c>
      <c r="D92" s="4" t="s">
        <v>212</v>
      </c>
      <c r="E92" s="3" t="s">
        <v>8</v>
      </c>
      <c r="G92" s="3" t="s">
        <v>199</v>
      </c>
      <c r="H92" s="5" t="s">
        <v>193</v>
      </c>
      <c r="I92" s="5" t="s">
        <v>15</v>
      </c>
      <c r="K92" s="6" t="s">
        <v>140</v>
      </c>
    </row>
    <row r="93" spans="1:11" x14ac:dyDescent="0.25">
      <c r="A93" s="2">
        <v>604</v>
      </c>
      <c r="B93" s="2">
        <v>1</v>
      </c>
      <c r="C93" s="3" t="s">
        <v>180</v>
      </c>
      <c r="D93" s="4" t="s">
        <v>213</v>
      </c>
      <c r="E93" s="3" t="s">
        <v>8</v>
      </c>
      <c r="F93" s="8">
        <v>16</v>
      </c>
      <c r="G93" s="3" t="s">
        <v>197</v>
      </c>
      <c r="H93" s="5" t="s">
        <v>194</v>
      </c>
      <c r="I93" s="5" t="s">
        <v>195</v>
      </c>
      <c r="K93" s="6" t="s">
        <v>140</v>
      </c>
    </row>
    <row r="94" spans="1:11" ht="30" hidden="1" x14ac:dyDescent="0.25">
      <c r="A94" s="2">
        <v>605</v>
      </c>
      <c r="B94" s="2">
        <v>1</v>
      </c>
      <c r="C94" s="3" t="s">
        <v>180</v>
      </c>
      <c r="D94" s="4" t="s">
        <v>214</v>
      </c>
      <c r="E94" s="3" t="s">
        <v>8</v>
      </c>
      <c r="G94" s="3" t="s">
        <v>216</v>
      </c>
      <c r="H94" s="5" t="s">
        <v>201</v>
      </c>
      <c r="I94" s="5" t="s">
        <v>205</v>
      </c>
      <c r="K94" s="6" t="s">
        <v>140</v>
      </c>
    </row>
    <row r="95" spans="1:11" hidden="1" x14ac:dyDescent="0.25">
      <c r="A95" s="2">
        <v>605</v>
      </c>
      <c r="B95" s="2">
        <v>2</v>
      </c>
      <c r="C95" s="3" t="s">
        <v>180</v>
      </c>
      <c r="D95" s="4" t="s">
        <v>214</v>
      </c>
      <c r="E95" s="3" t="s">
        <v>8</v>
      </c>
      <c r="G95" s="3" t="s">
        <v>216</v>
      </c>
      <c r="H95" s="5" t="s">
        <v>202</v>
      </c>
      <c r="I95" s="5" t="s">
        <v>203</v>
      </c>
      <c r="K95" s="6" t="s">
        <v>140</v>
      </c>
    </row>
    <row r="96" spans="1:11" hidden="1" x14ac:dyDescent="0.25">
      <c r="A96" s="2">
        <v>605</v>
      </c>
      <c r="B96" s="2">
        <v>3</v>
      </c>
      <c r="C96" s="3" t="s">
        <v>180</v>
      </c>
      <c r="D96" s="4" t="s">
        <v>214</v>
      </c>
      <c r="E96" s="3" t="s">
        <v>8</v>
      </c>
      <c r="G96" s="3" t="s">
        <v>216</v>
      </c>
      <c r="H96" s="5" t="s">
        <v>204</v>
      </c>
      <c r="I96" s="5" t="s">
        <v>205</v>
      </c>
      <c r="K96" s="6" t="s">
        <v>140</v>
      </c>
    </row>
    <row r="97" spans="1:11" ht="30" hidden="1" x14ac:dyDescent="0.25">
      <c r="A97" s="2">
        <v>606</v>
      </c>
      <c r="B97" s="2">
        <v>1</v>
      </c>
      <c r="C97" s="3" t="s">
        <v>180</v>
      </c>
      <c r="D97" s="4" t="s">
        <v>215</v>
      </c>
      <c r="E97" s="3" t="s">
        <v>8</v>
      </c>
      <c r="G97" s="3" t="s">
        <v>217</v>
      </c>
      <c r="H97" s="5" t="s">
        <v>206</v>
      </c>
      <c r="I97" s="5" t="s">
        <v>207</v>
      </c>
      <c r="K97" s="6" t="s">
        <v>140</v>
      </c>
    </row>
    <row r="98" spans="1:11" hidden="1" x14ac:dyDescent="0.25">
      <c r="A98" s="2">
        <v>606</v>
      </c>
      <c r="B98" s="2">
        <v>2</v>
      </c>
      <c r="C98" s="3" t="s">
        <v>180</v>
      </c>
      <c r="D98" s="4" t="s">
        <v>215</v>
      </c>
      <c r="E98" s="3" t="s">
        <v>8</v>
      </c>
      <c r="G98" s="3" t="s">
        <v>217</v>
      </c>
      <c r="H98" s="5" t="s">
        <v>219</v>
      </c>
      <c r="I98" s="5" t="s">
        <v>209</v>
      </c>
      <c r="K98" s="6" t="s">
        <v>140</v>
      </c>
    </row>
    <row r="99" spans="1:11" hidden="1" x14ac:dyDescent="0.25">
      <c r="A99" s="2">
        <v>606</v>
      </c>
      <c r="B99" s="2">
        <v>3</v>
      </c>
      <c r="C99" s="3" t="s">
        <v>180</v>
      </c>
      <c r="D99" s="4" t="s">
        <v>215</v>
      </c>
      <c r="E99" s="3" t="s">
        <v>8</v>
      </c>
      <c r="G99" s="3" t="s">
        <v>217</v>
      </c>
      <c r="H99" s="5" t="s">
        <v>220</v>
      </c>
      <c r="I99" s="5" t="s">
        <v>208</v>
      </c>
      <c r="K99" s="6" t="s">
        <v>140</v>
      </c>
    </row>
    <row r="100" spans="1:11" ht="30" hidden="1" x14ac:dyDescent="0.25">
      <c r="A100" s="2">
        <v>606</v>
      </c>
      <c r="B100" s="2">
        <v>4</v>
      </c>
      <c r="C100" s="3" t="s">
        <v>180</v>
      </c>
      <c r="D100" s="4" t="s">
        <v>215</v>
      </c>
      <c r="E100" s="3" t="s">
        <v>8</v>
      </c>
      <c r="G100" s="3" t="s">
        <v>217</v>
      </c>
      <c r="H100" s="5" t="s">
        <v>218</v>
      </c>
      <c r="I100" s="5" t="s">
        <v>209</v>
      </c>
      <c r="K100" s="6" t="s">
        <v>140</v>
      </c>
    </row>
    <row r="101" spans="1:11" hidden="1" x14ac:dyDescent="0.25">
      <c r="A101" s="2">
        <v>607</v>
      </c>
      <c r="B101" s="2">
        <v>1</v>
      </c>
      <c r="C101" s="3" t="s">
        <v>180</v>
      </c>
      <c r="D101" s="4" t="s">
        <v>221</v>
      </c>
      <c r="E101" s="3" t="s">
        <v>8</v>
      </c>
      <c r="G101" s="3" t="s">
        <v>222</v>
      </c>
      <c r="H101" s="5" t="s">
        <v>223</v>
      </c>
      <c r="K101" s="6" t="s">
        <v>140</v>
      </c>
    </row>
    <row r="102" spans="1:11" ht="30" hidden="1" x14ac:dyDescent="0.25">
      <c r="A102" s="2">
        <v>607</v>
      </c>
      <c r="B102" s="2">
        <v>2</v>
      </c>
      <c r="C102" s="3" t="s">
        <v>180</v>
      </c>
      <c r="D102" s="4" t="s">
        <v>221</v>
      </c>
      <c r="E102" s="3" t="s">
        <v>8</v>
      </c>
      <c r="G102" s="3" t="s">
        <v>222</v>
      </c>
      <c r="H102" s="5" t="s">
        <v>224</v>
      </c>
      <c r="I102" s="5" t="s">
        <v>225</v>
      </c>
      <c r="K102" s="6" t="s">
        <v>140</v>
      </c>
    </row>
    <row r="103" spans="1:11" x14ac:dyDescent="0.25">
      <c r="A103" s="2">
        <v>607</v>
      </c>
      <c r="B103" s="2">
        <v>3</v>
      </c>
      <c r="C103" s="3" t="s">
        <v>180</v>
      </c>
      <c r="D103" s="4" t="s">
        <v>221</v>
      </c>
      <c r="E103" s="3" t="s">
        <v>8</v>
      </c>
      <c r="F103" s="8">
        <v>5</v>
      </c>
      <c r="G103" s="3" t="s">
        <v>222</v>
      </c>
      <c r="I103" s="5" t="s">
        <v>226</v>
      </c>
      <c r="K103" s="6" t="s">
        <v>140</v>
      </c>
    </row>
    <row r="104" spans="1:11" ht="30" hidden="1" x14ac:dyDescent="0.25">
      <c r="A104" s="2">
        <v>608</v>
      </c>
      <c r="B104" s="2">
        <v>1</v>
      </c>
      <c r="C104" s="3" t="s">
        <v>180</v>
      </c>
      <c r="D104" s="4" t="s">
        <v>234</v>
      </c>
      <c r="E104" s="3" t="s">
        <v>8</v>
      </c>
      <c r="G104" s="3" t="s">
        <v>196</v>
      </c>
      <c r="H104" s="5" t="s">
        <v>227</v>
      </c>
      <c r="I104" s="5" t="s">
        <v>228</v>
      </c>
      <c r="K104" s="6" t="s">
        <v>140</v>
      </c>
    </row>
    <row r="105" spans="1:11" ht="45" hidden="1" x14ac:dyDescent="0.25">
      <c r="A105" s="2">
        <v>609</v>
      </c>
      <c r="B105" s="2">
        <v>1</v>
      </c>
      <c r="C105" s="3" t="s">
        <v>180</v>
      </c>
      <c r="D105" s="4" t="s">
        <v>235</v>
      </c>
      <c r="E105" s="3" t="s">
        <v>8</v>
      </c>
      <c r="G105" s="3" t="s">
        <v>229</v>
      </c>
      <c r="H105" s="5" t="s">
        <v>230</v>
      </c>
      <c r="I105" s="5" t="s">
        <v>134</v>
      </c>
      <c r="K105" s="6" t="s">
        <v>140</v>
      </c>
    </row>
    <row r="106" spans="1:11" ht="45" hidden="1" x14ac:dyDescent="0.25">
      <c r="A106" s="2">
        <v>609</v>
      </c>
      <c r="B106" s="2">
        <v>2</v>
      </c>
      <c r="C106" s="3" t="s">
        <v>180</v>
      </c>
      <c r="D106" s="4" t="s">
        <v>235</v>
      </c>
      <c r="E106" s="3" t="s">
        <v>8</v>
      </c>
      <c r="G106" s="3" t="s">
        <v>229</v>
      </c>
      <c r="H106" s="5" t="s">
        <v>231</v>
      </c>
      <c r="I106" s="5" t="s">
        <v>134</v>
      </c>
      <c r="K106" s="6" t="s">
        <v>140</v>
      </c>
    </row>
    <row r="107" spans="1:11" ht="45" hidden="1" x14ac:dyDescent="0.25">
      <c r="A107" s="2">
        <v>609</v>
      </c>
      <c r="B107" s="2">
        <v>3</v>
      </c>
      <c r="C107" s="3" t="s">
        <v>180</v>
      </c>
      <c r="D107" s="4" t="s">
        <v>235</v>
      </c>
      <c r="E107" s="3" t="s">
        <v>8</v>
      </c>
      <c r="G107" s="3" t="s">
        <v>229</v>
      </c>
      <c r="H107" s="5" t="s">
        <v>232</v>
      </c>
      <c r="I107" s="5" t="s">
        <v>15</v>
      </c>
      <c r="K107" s="6" t="s">
        <v>140</v>
      </c>
    </row>
    <row r="108" spans="1:11" ht="45" x14ac:dyDescent="0.25">
      <c r="A108" s="2">
        <v>609</v>
      </c>
      <c r="B108" s="2">
        <v>4</v>
      </c>
      <c r="C108" s="3" t="s">
        <v>180</v>
      </c>
      <c r="D108" s="4" t="s">
        <v>235</v>
      </c>
      <c r="E108" s="3" t="s">
        <v>8</v>
      </c>
      <c r="F108" s="8">
        <v>4</v>
      </c>
      <c r="G108" s="3" t="s">
        <v>229</v>
      </c>
      <c r="H108" s="5" t="s">
        <v>233</v>
      </c>
      <c r="I108" s="5" t="s">
        <v>15</v>
      </c>
      <c r="K108" s="6" t="s">
        <v>140</v>
      </c>
    </row>
    <row r="109" spans="1:11" hidden="1" x14ac:dyDescent="0.25">
      <c r="A109" s="2">
        <v>610</v>
      </c>
      <c r="B109" s="2">
        <v>1</v>
      </c>
      <c r="C109" s="3" t="s">
        <v>180</v>
      </c>
      <c r="D109" s="4" t="s">
        <v>238</v>
      </c>
      <c r="E109" s="3" t="s">
        <v>8</v>
      </c>
      <c r="G109" s="3" t="s">
        <v>237</v>
      </c>
      <c r="H109" s="5" t="s">
        <v>236</v>
      </c>
      <c r="I109" s="5" t="s">
        <v>134</v>
      </c>
      <c r="K109" s="6" t="s">
        <v>140</v>
      </c>
    </row>
    <row r="110" spans="1:11" ht="45" hidden="1" x14ac:dyDescent="0.25">
      <c r="A110" s="2">
        <v>611</v>
      </c>
      <c r="B110" s="2">
        <v>1</v>
      </c>
      <c r="C110" s="3" t="s">
        <v>180</v>
      </c>
      <c r="D110" s="4" t="s">
        <v>239</v>
      </c>
      <c r="E110" s="3" t="s">
        <v>8</v>
      </c>
      <c r="G110" s="3" t="s">
        <v>190</v>
      </c>
      <c r="H110" s="5" t="s">
        <v>240</v>
      </c>
      <c r="I110" s="5" t="s">
        <v>241</v>
      </c>
      <c r="K110" s="6" t="s">
        <v>140</v>
      </c>
    </row>
    <row r="111" spans="1:11" ht="30" hidden="1" x14ac:dyDescent="0.25">
      <c r="A111" s="2">
        <v>611</v>
      </c>
      <c r="B111" s="2">
        <v>2</v>
      </c>
      <c r="C111" s="3" t="s">
        <v>180</v>
      </c>
      <c r="D111" s="4" t="s">
        <v>239</v>
      </c>
      <c r="E111" s="3" t="s">
        <v>8</v>
      </c>
      <c r="G111" s="3" t="s">
        <v>190</v>
      </c>
      <c r="H111" s="5" t="s">
        <v>184</v>
      </c>
      <c r="I111" s="5" t="s">
        <v>242</v>
      </c>
      <c r="K111" s="6" t="s">
        <v>140</v>
      </c>
    </row>
    <row r="112" spans="1:11" ht="30" hidden="1" x14ac:dyDescent="0.25">
      <c r="A112" s="2">
        <v>611</v>
      </c>
      <c r="B112" s="2">
        <v>3</v>
      </c>
      <c r="C112" s="3" t="s">
        <v>180</v>
      </c>
      <c r="D112" s="4" t="s">
        <v>239</v>
      </c>
      <c r="E112" s="3" t="s">
        <v>8</v>
      </c>
      <c r="G112" s="3" t="s">
        <v>190</v>
      </c>
      <c r="H112" s="5" t="s">
        <v>244</v>
      </c>
      <c r="I112" s="5" t="s">
        <v>241</v>
      </c>
      <c r="K112" s="6" t="s">
        <v>140</v>
      </c>
    </row>
    <row r="113" spans="1:11" ht="30" hidden="1" x14ac:dyDescent="0.25">
      <c r="A113" s="2">
        <v>611</v>
      </c>
      <c r="B113" s="2">
        <v>4</v>
      </c>
      <c r="C113" s="3" t="s">
        <v>180</v>
      </c>
      <c r="D113" s="4" t="s">
        <v>239</v>
      </c>
      <c r="E113" s="3" t="s">
        <v>8</v>
      </c>
      <c r="G113" s="3" t="s">
        <v>190</v>
      </c>
      <c r="H113" s="5" t="s">
        <v>243</v>
      </c>
      <c r="I113" s="5" t="s">
        <v>186</v>
      </c>
      <c r="K113" s="6" t="s">
        <v>140</v>
      </c>
    </row>
    <row r="114" spans="1:11" ht="30" hidden="1" x14ac:dyDescent="0.25">
      <c r="A114" s="2">
        <v>611</v>
      </c>
      <c r="B114" s="2">
        <v>5</v>
      </c>
      <c r="C114" s="3" t="s">
        <v>180</v>
      </c>
      <c r="D114" s="4" t="s">
        <v>239</v>
      </c>
      <c r="E114" s="3" t="s">
        <v>8</v>
      </c>
      <c r="G114" s="3" t="s">
        <v>190</v>
      </c>
      <c r="H114" s="5" t="s">
        <v>243</v>
      </c>
      <c r="I114" s="5" t="s">
        <v>186</v>
      </c>
      <c r="K114" s="6" t="s">
        <v>140</v>
      </c>
    </row>
    <row r="115" spans="1:11" ht="30" x14ac:dyDescent="0.25">
      <c r="A115" s="2">
        <v>612</v>
      </c>
      <c r="B115" s="2">
        <v>1</v>
      </c>
      <c r="C115" s="3" t="s">
        <v>180</v>
      </c>
      <c r="D115" s="4" t="s">
        <v>248</v>
      </c>
      <c r="E115" s="3" t="s">
        <v>8</v>
      </c>
      <c r="F115" s="8">
        <v>27</v>
      </c>
      <c r="G115" s="3" t="s">
        <v>247</v>
      </c>
      <c r="H115" s="5" t="s">
        <v>245</v>
      </c>
      <c r="I115" s="5" t="s">
        <v>246</v>
      </c>
      <c r="K115" s="6" t="s">
        <v>140</v>
      </c>
    </row>
  </sheetData>
  <autoFilter ref="A1:K115" xr:uid="{E9FB16D2-1E4D-48C4-8DA7-6CE7A4E4FDA1}">
    <filterColumn colId="5">
      <customFilters>
        <customFilter operator="notEqual" val=" "/>
      </customFilters>
    </filterColumn>
    <sortState xmlns:xlrd2="http://schemas.microsoft.com/office/spreadsheetml/2017/richdata2" ref="A2:K65">
      <sortCondition ref="A1"/>
    </sortState>
  </autoFilter>
  <conditionalFormatting sqref="A2:K70 K65:K83 G66:G73 C66:E76 A67:A73 C71:K71 B71:B73 C72:G73 J72:K73 A74:K90 C90:C97 E90:E97 A91:J96 K91:K98 A97:C97 E97:J97 G97:G100 A98:J98 A99:K998">
    <cfRule type="expression" dxfId="11" priority="5">
      <formula>$K2="Falha"</formula>
    </cfRule>
    <cfRule type="expression" dxfId="10" priority="6">
      <formula>$K2="Em andamento"</formula>
    </cfRule>
  </conditionalFormatting>
  <conditionalFormatting sqref="A99:K998 A2:K70 K65:K83 G66:G73 C66:E76 A67:A73 C71:K71 B71:B73 C72:G73 J72:K73 A74:K90 C90:C97 E90:E97 A91:J96 K91:K98 A97:C97 E97:J97 G97:G100 A98:J98">
    <cfRule type="expression" dxfId="9" priority="4">
      <formula>$K2="Sucesso"</formula>
    </cfRule>
  </conditionalFormatting>
  <conditionalFormatting sqref="D97:D98">
    <cfRule type="expression" dxfId="8" priority="16">
      <formula>#REF!="Sucesso"</formula>
    </cfRule>
    <cfRule type="expression" dxfId="7" priority="17">
      <formula>#REF!="Falha"</formula>
    </cfRule>
    <cfRule type="expression" dxfId="6" priority="18">
      <formula>#REF!="Em andamento"</formula>
    </cfRule>
  </conditionalFormatting>
  <conditionalFormatting sqref="D99">
    <cfRule type="expression" dxfId="5" priority="1">
      <formula>#REF!="Sucesso"</formula>
    </cfRule>
    <cfRule type="expression" dxfId="4" priority="2">
      <formula>#REF!="Falha"</formula>
    </cfRule>
    <cfRule type="expression" dxfId="3" priority="3">
      <formula>#REF!="Em andamento"</formula>
    </cfRule>
  </conditionalFormatting>
  <conditionalFormatting sqref="H73:I73">
    <cfRule type="expression" dxfId="2" priority="10">
      <formula>$K72="Sucesso"</formula>
    </cfRule>
    <cfRule type="expression" dxfId="1" priority="11">
      <formula>$K72="Falha"</formula>
    </cfRule>
    <cfRule type="expression" dxfId="0" priority="12">
      <formula>$K72="Em andamento"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9ADE14-94DB-43AA-9A92-657C53573B11}">
          <x14:formula1>
            <xm:f>Status!A:A</xm:f>
          </x14:formula1>
          <xm:sqref>K2:K115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C87E-3A35-46CA-9E10-75EE9AE05DD2}">
  <dimension ref="A1:B7"/>
  <sheetViews>
    <sheetView showGridLines="0" workbookViewId="0">
      <selection activeCell="B2" sqref="B2"/>
    </sheetView>
  </sheetViews>
  <sheetFormatPr defaultRowHeight="15" x14ac:dyDescent="0.25"/>
  <cols>
    <col min="1" max="1" width="14.42578125" bestFit="1" customWidth="1"/>
  </cols>
  <sheetData>
    <row r="1" spans="1:2" x14ac:dyDescent="0.25">
      <c r="A1" s="1" t="s">
        <v>139</v>
      </c>
      <c r="B1" s="1" t="s">
        <v>178</v>
      </c>
    </row>
    <row r="2" spans="1:2" x14ac:dyDescent="0.25">
      <c r="A2" t="s">
        <v>140</v>
      </c>
      <c r="B2">
        <f>COUNTIF('Cenários de teste'!K:K,A2)</f>
        <v>114</v>
      </c>
    </row>
    <row r="3" spans="1:2" x14ac:dyDescent="0.25">
      <c r="A3" t="s">
        <v>141</v>
      </c>
      <c r="B3">
        <f>COUNTIF('Cenários de teste'!K:K,A3)</f>
        <v>0</v>
      </c>
    </row>
    <row r="4" spans="1:2" x14ac:dyDescent="0.25">
      <c r="A4" t="s">
        <v>142</v>
      </c>
      <c r="B4">
        <f>COUNTIF('Cenários de teste'!K:K,A4)</f>
        <v>0</v>
      </c>
    </row>
    <row r="5" spans="1:2" x14ac:dyDescent="0.25">
      <c r="A5" t="s">
        <v>143</v>
      </c>
      <c r="B5">
        <f>COUNTIF('Cenários de teste'!K:K,A5)</f>
        <v>0</v>
      </c>
    </row>
    <row r="7" spans="1:2" x14ac:dyDescent="0.25">
      <c r="A7" t="s">
        <v>179</v>
      </c>
      <c r="B7" s="7">
        <f>SUM(B3:B5)/SUM(B2:B5)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5CE43-27A5-4F2E-A7A2-82E94C8C752D}">
  <dimension ref="A1:A4"/>
  <sheetViews>
    <sheetView workbookViewId="0">
      <selection activeCell="C22" sqref="C22"/>
    </sheetView>
  </sheetViews>
  <sheetFormatPr defaultRowHeight="15" x14ac:dyDescent="0.25"/>
  <cols>
    <col min="1" max="1" width="14.42578125" bestFit="1" customWidth="1"/>
  </cols>
  <sheetData>
    <row r="1" spans="1:1" x14ac:dyDescent="0.25">
      <c r="A1" t="s">
        <v>140</v>
      </c>
    </row>
    <row r="2" spans="1:1" x14ac:dyDescent="0.25">
      <c r="A2" t="s">
        <v>141</v>
      </c>
    </row>
    <row r="3" spans="1:1" x14ac:dyDescent="0.25">
      <c r="A3" t="s">
        <v>142</v>
      </c>
    </row>
    <row r="4" spans="1:1" x14ac:dyDescent="0.25">
      <c r="A4" t="s">
        <v>143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Cenários de teste</vt:lpstr>
      <vt:lpstr>Dados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de Sordi</dc:creator>
  <cp:lastModifiedBy>Guilherme de Sordi</cp:lastModifiedBy>
  <dcterms:created xsi:type="dcterms:W3CDTF">2022-06-07T00:16:18Z</dcterms:created>
  <dcterms:modified xsi:type="dcterms:W3CDTF">2024-11-02T23:15:28Z</dcterms:modified>
</cp:coreProperties>
</file>